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현재_통합_문서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HKF-DG-008(BOM)" sheetId="1" state="visible" r:id="rId1"/>
    <sheet name="Sheet2" sheetId="2" state="visible" r:id="rId2"/>
    <sheet name="Sheet1" sheetId="3" state="visible" r:id="rId3"/>
  </sheets>
  <externalReferences>
    <externalReference r:id="rId4"/>
  </externalReferences>
  <definedNames>
    <definedName name="SLOTTED_SHLDER.8_32X3_16X1_LG">[1]OPTION!#REF!</definedName>
    <definedName name="_xlnm._FilterDatabase" localSheetId="0" hidden="1">'HKF-DG-008(BOM)'!$A$11:$AO$313</definedName>
  </definedNames>
  <calcPr calcId="181029" fullCalcOnLoad="1"/>
</workbook>
</file>

<file path=xl/styles.xml><?xml version="1.0" encoding="utf-8"?>
<styleSheet xmlns="http://schemas.openxmlformats.org/spreadsheetml/2006/main">
  <numFmts count="2">
    <numFmt numFmtId="164" formatCode="m/d;@"/>
    <numFmt numFmtId="165" formatCode="mm&quot;/&quot;dd&quot;/&quot;yy;@"/>
  </numFmts>
  <fonts count="75">
    <font>
      <name val="돋움"/>
      <charset val="129"/>
      <family val="3"/>
      <sz val="11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돋움"/>
      <charset val="129"/>
      <family val="3"/>
      <sz val="11"/>
    </font>
    <font>
      <name val="Arial"/>
      <family val="2"/>
      <sz val="10"/>
    </font>
    <font>
      <name val="Arial"/>
      <family val="2"/>
      <sz val="8"/>
    </font>
    <font>
      <name val="Calibri"/>
      <family val="2"/>
      <color indexed="8"/>
      <sz val="11"/>
    </font>
    <font>
      <name val="Arial"/>
      <family val="2"/>
      <sz val="9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theme="0"/>
      <sz val="11"/>
      <scheme val="minor"/>
    </font>
    <font>
      <name val="맑은 고딕"/>
      <charset val="129"/>
      <family val="3"/>
      <color rgb="FFFF0000"/>
      <sz val="11"/>
      <scheme val="minor"/>
    </font>
    <font>
      <name val="맑은 고딕"/>
      <charset val="129"/>
      <family val="3"/>
      <b val="1"/>
      <color rgb="FFFA7D00"/>
      <sz val="11"/>
      <scheme val="minor"/>
    </font>
    <font>
      <name val="맑은 고딕"/>
      <charset val="129"/>
      <family val="3"/>
      <color rgb="FF9C0006"/>
      <sz val="11"/>
      <scheme val="minor"/>
    </font>
    <font>
      <name val="맑은 고딕"/>
      <charset val="129"/>
      <family val="3"/>
      <color rgb="FF9C6500"/>
      <sz val="11"/>
      <scheme val="minor"/>
    </font>
    <font>
      <name val="맑은 고딕"/>
      <charset val="129"/>
      <family val="3"/>
      <i val="1"/>
      <color rgb="FF7F7F7F"/>
      <sz val="11"/>
      <scheme val="minor"/>
    </font>
    <font>
      <name val="맑은 고딕"/>
      <charset val="129"/>
      <family val="3"/>
      <b val="1"/>
      <color theme="0"/>
      <sz val="11"/>
      <scheme val="minor"/>
    </font>
    <font>
      <name val="맑은 고딕"/>
      <charset val="129"/>
      <family val="3"/>
      <color rgb="FFFA7D00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rgb="FF3F3F76"/>
      <sz val="11"/>
      <scheme val="minor"/>
    </font>
    <font>
      <name val="맑은 고딕"/>
      <charset val="129"/>
      <family val="3"/>
      <b val="1"/>
      <color theme="3"/>
      <sz val="18"/>
      <scheme val="major"/>
    </font>
    <font>
      <name val="맑은 고딕"/>
      <charset val="129"/>
      <family val="3"/>
      <b val="1"/>
      <color theme="3"/>
      <sz val="15"/>
      <scheme val="minor"/>
    </font>
    <font>
      <name val="맑은 고딕"/>
      <charset val="129"/>
      <family val="3"/>
      <b val="1"/>
      <color theme="3"/>
      <sz val="13"/>
      <scheme val="minor"/>
    </font>
    <font>
      <name val="맑은 고딕"/>
      <charset val="129"/>
      <family val="3"/>
      <b val="1"/>
      <color theme="3"/>
      <sz val="11"/>
      <scheme val="minor"/>
    </font>
    <font>
      <name val="맑은 고딕"/>
      <charset val="129"/>
      <family val="3"/>
      <color rgb="FF006100"/>
      <sz val="11"/>
      <scheme val="minor"/>
    </font>
    <font>
      <name val="맑은 고딕"/>
      <charset val="129"/>
      <family val="3"/>
      <b val="1"/>
      <color rgb="FF3F3F3F"/>
      <sz val="11"/>
      <scheme val="minor"/>
    </font>
    <font>
      <name val="Calibri"/>
      <family val="2"/>
      <b val="1"/>
      <color indexed="62"/>
      <sz val="15"/>
    </font>
    <font>
      <name val="Calibri"/>
      <family val="2"/>
      <b val="1"/>
      <color indexed="62"/>
      <sz val="13"/>
    </font>
    <font>
      <name val="Calibri"/>
      <family val="2"/>
      <b val="1"/>
      <color indexed="62"/>
      <sz val="11"/>
    </font>
    <font>
      <name val="Calibri"/>
      <family val="2"/>
      <color indexed="10"/>
      <sz val="11"/>
    </font>
    <font>
      <name val="Cambria"/>
      <family val="1"/>
      <b val="1"/>
      <color indexed="62"/>
      <sz val="18"/>
    </font>
    <font>
      <name val="맑은 고딕"/>
      <charset val="129"/>
      <family val="3"/>
      <b val="1"/>
      <color indexed="10"/>
      <sz val="11"/>
      <scheme val="minor"/>
    </font>
    <font>
      <name val="맑은 고딕"/>
      <charset val="129"/>
      <family val="3"/>
      <b val="1"/>
      <color indexed="62"/>
      <sz val="15"/>
      <scheme val="minor"/>
    </font>
    <font>
      <name val="맑은 고딕"/>
      <charset val="129"/>
      <family val="3"/>
      <b val="1"/>
      <color indexed="62"/>
      <sz val="13"/>
      <scheme val="minor"/>
    </font>
    <font>
      <name val="맑은 고딕"/>
      <charset val="129"/>
      <family val="3"/>
      <b val="1"/>
      <color indexed="62"/>
      <sz val="11"/>
      <scheme val="minor"/>
    </font>
    <font>
      <name val="맑은 고딕"/>
      <charset val="129"/>
      <family val="3"/>
      <color indexed="10"/>
      <sz val="11"/>
      <scheme val="minor"/>
    </font>
    <font>
      <name val="맑은 고딕"/>
      <charset val="129"/>
      <family val="3"/>
      <color indexed="19"/>
      <sz val="11"/>
      <scheme val="minor"/>
    </font>
    <font>
      <name val="맑은 고딕"/>
      <charset val="129"/>
      <family val="3"/>
      <b val="1"/>
      <color indexed="62"/>
      <sz val="18"/>
      <scheme val="major"/>
    </font>
    <font>
      <name val="맑은 고딕"/>
      <charset val="129"/>
      <family val="3"/>
      <color theme="1"/>
      <sz val="11"/>
    </font>
    <font>
      <name val="맑은 고딕"/>
      <charset val="129"/>
      <family val="3"/>
      <color indexed="8"/>
      <sz val="11"/>
    </font>
    <font>
      <name val="맑은 고딕"/>
      <charset val="129"/>
      <family val="3"/>
      <color theme="0"/>
      <sz val="11"/>
    </font>
    <font>
      <name val="맑은 고딕"/>
      <charset val="129"/>
      <family val="3"/>
      <color rgb="FFFF0000"/>
      <sz val="11"/>
    </font>
    <font>
      <name val="맑은 고딕"/>
      <charset val="129"/>
      <family val="3"/>
      <b val="1"/>
      <color rgb="FFFA7D00"/>
      <sz val="11"/>
    </font>
    <font>
      <name val="맑은 고딕"/>
      <charset val="129"/>
      <family val="3"/>
      <color rgb="FF9C0006"/>
      <sz val="11"/>
    </font>
    <font>
      <name val="맑은 고딕"/>
      <charset val="129"/>
      <family val="3"/>
      <color rgb="FF9C6500"/>
      <sz val="11"/>
    </font>
    <font>
      <name val="맑은 고딕"/>
      <charset val="129"/>
      <family val="3"/>
      <i val="1"/>
      <color rgb="FF7F7F7F"/>
      <sz val="11"/>
    </font>
    <font>
      <name val="맑은 고딕"/>
      <charset val="129"/>
      <family val="3"/>
      <b val="1"/>
      <color theme="0"/>
      <sz val="11"/>
    </font>
    <font>
      <name val="맑은 고딕"/>
      <charset val="129"/>
      <family val="3"/>
      <color rgb="FFFA7D00"/>
      <sz val="11"/>
    </font>
    <font>
      <name val="맑은 고딕"/>
      <charset val="129"/>
      <family val="3"/>
      <b val="1"/>
      <color theme="1"/>
      <sz val="11"/>
    </font>
    <font>
      <name val="맑은 고딕"/>
      <charset val="129"/>
      <family val="3"/>
      <color rgb="FF3F3F76"/>
      <sz val="11"/>
    </font>
    <font>
      <name val="맑은 고딕"/>
      <charset val="129"/>
      <family val="3"/>
      <b val="1"/>
      <color theme="3"/>
      <sz val="15"/>
    </font>
    <font>
      <name val="맑은 고딕"/>
      <charset val="129"/>
      <family val="3"/>
      <b val="1"/>
      <color theme="3"/>
      <sz val="13"/>
    </font>
    <font>
      <name val="맑은 고딕"/>
      <charset val="129"/>
      <family val="3"/>
      <b val="1"/>
      <color theme="3"/>
      <sz val="11"/>
    </font>
    <font>
      <name val="맑은 고딕"/>
      <charset val="129"/>
      <family val="3"/>
      <b val="1"/>
      <color theme="3"/>
      <sz val="18"/>
    </font>
    <font>
      <name val="맑은 고딕"/>
      <charset val="129"/>
      <family val="3"/>
      <color rgb="FF006100"/>
      <sz val="11"/>
    </font>
    <font>
      <name val="맑은 고딕"/>
      <charset val="129"/>
      <family val="3"/>
      <b val="1"/>
      <color rgb="FF3F3F3F"/>
      <sz val="11"/>
    </font>
    <font>
      <name val="맑은 고딕"/>
      <charset val="129"/>
      <family val="3"/>
      <b val="1"/>
      <color indexed="62"/>
      <sz val="15"/>
    </font>
    <font>
      <name val="맑은 고딕"/>
      <charset val="129"/>
      <family val="3"/>
      <b val="1"/>
      <color indexed="62"/>
      <sz val="13"/>
    </font>
    <font>
      <name val="맑은 고딕"/>
      <charset val="129"/>
      <family val="3"/>
      <b val="1"/>
      <color indexed="62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b val="1"/>
      <color indexed="62"/>
      <sz val="18"/>
    </font>
    <font>
      <name val="맑은 고딕"/>
      <charset val="129"/>
      <family val="3"/>
      <b val="1"/>
      <color indexed="10"/>
      <sz val="11"/>
    </font>
    <font>
      <name val="맑은 고딕"/>
      <charset val="129"/>
      <family val="3"/>
      <color indexed="19"/>
      <sz val="11"/>
    </font>
    <font>
      <name val="arial"/>
      <family val="2"/>
      <b val="1"/>
      <color theme="1"/>
      <sz val="8"/>
    </font>
    <font>
      <name val="Arial"/>
      <family val="2"/>
      <color theme="1"/>
      <sz val="8"/>
    </font>
    <font>
      <name val="굴림"/>
      <charset val="129"/>
      <family val="3"/>
      <color theme="1"/>
      <sz val="8"/>
    </font>
    <font>
      <name val="arial"/>
      <family val="2"/>
      <b val="1"/>
      <sz val="8"/>
    </font>
    <font>
      <name val="Arial"/>
      <family val="2"/>
      <color rgb="FF0000CC"/>
      <sz val="8"/>
    </font>
    <font>
      <name val="Arial"/>
      <family val="2"/>
      <color rgb="FF0070C0"/>
      <sz val="8"/>
    </font>
    <font>
      <name val="Arial"/>
      <family val="2"/>
      <color rgb="FF00B050"/>
      <sz val="8"/>
    </font>
    <font>
      <name val="Arial"/>
      <family val="2"/>
      <color rgb="FFFF0000"/>
      <sz val="8"/>
    </font>
    <font>
      <name val="돋움"/>
      <charset val="129"/>
      <family val="3"/>
      <sz val="8"/>
    </font>
    <font>
      <b val="1"/>
      <color rgb="FF0000FF"/>
    </font>
  </fonts>
  <fills count="49">
    <fill>
      <patternFill/>
    </fill>
    <fill>
      <patternFill patternType="gray125"/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10"/>
      </patternFill>
    </fill>
    <fill>
      <patternFill patternType="solid">
        <fgColor indexed="9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0388">
    <xf numFmtId="0" fontId="6" fillId="0" borderId="0" applyAlignment="1">
      <alignment vertical="center"/>
    </xf>
    <xf numFmtId="0" fontId="11" fillId="2" borderId="0"/>
    <xf numFmtId="0" fontId="11" fillId="2" borderId="0"/>
    <xf numFmtId="0" fontId="11" fillId="2" borderId="0"/>
    <xf numFmtId="0" fontId="11" fillId="2" borderId="0"/>
    <xf numFmtId="0" fontId="11" fillId="2" borderId="0"/>
    <xf numFmtId="0" fontId="11" fillId="2" borderId="0"/>
    <xf numFmtId="0" fontId="11" fillId="2" borderId="0"/>
    <xf numFmtId="0" fontId="11" fillId="2" borderId="0"/>
    <xf numFmtId="0" fontId="11" fillId="2" borderId="0"/>
    <xf numFmtId="0" fontId="11" fillId="2" borderId="0"/>
    <xf numFmtId="0" fontId="11" fillId="2" borderId="0"/>
    <xf numFmtId="0" fontId="11" fillId="2" borderId="0"/>
    <xf numFmtId="0" fontId="11" fillId="2" borderId="0"/>
    <xf numFmtId="0" fontId="11" fillId="2" borderId="0"/>
    <xf numFmtId="0" fontId="11" fillId="2" borderId="0"/>
    <xf numFmtId="0" fontId="11" fillId="2" borderId="0"/>
    <xf numFmtId="0" fontId="11" fillId="2" borderId="0"/>
    <xf numFmtId="0" fontId="11" fillId="2" borderId="0"/>
    <xf numFmtId="0" fontId="11" fillId="2" borderId="0"/>
    <xf numFmtId="0" fontId="11" fillId="2" borderId="0"/>
    <xf numFmtId="0" fontId="11" fillId="3" borderId="0"/>
    <xf numFmtId="0" fontId="11" fillId="3" borderId="0"/>
    <xf numFmtId="0" fontId="11" fillId="3" borderId="0"/>
    <xf numFmtId="0" fontId="11" fillId="3" borderId="0"/>
    <xf numFmtId="0" fontId="11" fillId="3" borderId="0"/>
    <xf numFmtId="0" fontId="11" fillId="3" borderId="0"/>
    <xf numFmtId="0" fontId="11" fillId="3" borderId="0"/>
    <xf numFmtId="0" fontId="11" fillId="3" borderId="0"/>
    <xf numFmtId="0" fontId="11" fillId="3" borderId="0"/>
    <xf numFmtId="0" fontId="11" fillId="3" borderId="0"/>
    <xf numFmtId="0" fontId="11" fillId="3" borderId="0"/>
    <xf numFmtId="0" fontId="11" fillId="3" borderId="0"/>
    <xf numFmtId="0" fontId="11" fillId="3" borderId="0"/>
    <xf numFmtId="0" fontId="11" fillId="3" borderId="0"/>
    <xf numFmtId="0" fontId="11" fillId="3" borderId="0"/>
    <xf numFmtId="0" fontId="11" fillId="3" borderId="0"/>
    <xf numFmtId="0" fontId="11" fillId="3" borderId="0"/>
    <xf numFmtId="0" fontId="11" fillId="3" borderId="0"/>
    <xf numFmtId="0" fontId="11" fillId="3" borderId="0"/>
    <xf numFmtId="0" fontId="11" fillId="3" borderId="0"/>
    <xf numFmtId="0" fontId="11" fillId="4" borderId="0"/>
    <xf numFmtId="0" fontId="11" fillId="4" borderId="0"/>
    <xf numFmtId="0" fontId="11" fillId="4" borderId="0"/>
    <xf numFmtId="0" fontId="11" fillId="4" borderId="0"/>
    <xf numFmtId="0" fontId="11" fillId="4" borderId="0"/>
    <xf numFmtId="0" fontId="11" fillId="4" borderId="0"/>
    <xf numFmtId="0" fontId="11" fillId="4" borderId="0"/>
    <xf numFmtId="0" fontId="11" fillId="4" borderId="0"/>
    <xf numFmtId="0" fontId="11" fillId="4" borderId="0"/>
    <xf numFmtId="0" fontId="11" fillId="4" borderId="0"/>
    <xf numFmtId="0" fontId="11" fillId="4" borderId="0"/>
    <xf numFmtId="0" fontId="11" fillId="4" borderId="0"/>
    <xf numFmtId="0" fontId="11" fillId="4" borderId="0"/>
    <xf numFmtId="0" fontId="11" fillId="4" borderId="0"/>
    <xf numFmtId="0" fontId="11" fillId="4" borderId="0"/>
    <xf numFmtId="0" fontId="11" fillId="4" borderId="0"/>
    <xf numFmtId="0" fontId="11" fillId="4" borderId="0"/>
    <xf numFmtId="0" fontId="11" fillId="4" borderId="0"/>
    <xf numFmtId="0" fontId="11" fillId="4" borderId="0"/>
    <xf numFmtId="0" fontId="11" fillId="4" borderId="0"/>
    <xf numFmtId="0" fontId="11" fillId="5" borderId="0"/>
    <xf numFmtId="0" fontId="11" fillId="5" borderId="0"/>
    <xf numFmtId="0" fontId="11" fillId="5" borderId="0"/>
    <xf numFmtId="0" fontId="11" fillId="5" borderId="0"/>
    <xf numFmtId="0" fontId="11" fillId="5" borderId="0"/>
    <xf numFmtId="0" fontId="11" fillId="5" borderId="0"/>
    <xf numFmtId="0" fontId="11" fillId="5" borderId="0"/>
    <xf numFmtId="0" fontId="11" fillId="5" borderId="0"/>
    <xf numFmtId="0" fontId="11" fillId="5" borderId="0"/>
    <xf numFmtId="0" fontId="11" fillId="5" borderId="0"/>
    <xf numFmtId="0" fontId="11" fillId="5" borderId="0"/>
    <xf numFmtId="0" fontId="11" fillId="5" borderId="0"/>
    <xf numFmtId="0" fontId="11" fillId="5" borderId="0"/>
    <xf numFmtId="0" fontId="11" fillId="5" borderId="0"/>
    <xf numFmtId="0" fontId="11" fillId="5" borderId="0"/>
    <xf numFmtId="0" fontId="11" fillId="5" borderId="0"/>
    <xf numFmtId="0" fontId="11" fillId="5" borderId="0"/>
    <xf numFmtId="0" fontId="11" fillId="5" borderId="0"/>
    <xf numFmtId="0" fontId="11" fillId="5" borderId="0"/>
    <xf numFmtId="0" fontId="11" fillId="5" borderId="0"/>
    <xf numFmtId="0" fontId="11" fillId="6" borderId="0"/>
    <xf numFmtId="0" fontId="11" fillId="6" borderId="0"/>
    <xf numFmtId="0" fontId="11" fillId="6" borderId="0"/>
    <xf numFmtId="0" fontId="11" fillId="6" borderId="0"/>
    <xf numFmtId="0" fontId="11" fillId="6" borderId="0"/>
    <xf numFmtId="0" fontId="11" fillId="6" borderId="0"/>
    <xf numFmtId="0" fontId="11" fillId="6" borderId="0"/>
    <xf numFmtId="0" fontId="11" fillId="6" borderId="0"/>
    <xf numFmtId="0" fontId="11" fillId="6" borderId="0"/>
    <xf numFmtId="0" fontId="11" fillId="6" borderId="0"/>
    <xf numFmtId="0" fontId="11" fillId="6" borderId="0"/>
    <xf numFmtId="0" fontId="11" fillId="6" borderId="0"/>
    <xf numFmtId="0" fontId="11" fillId="6" borderId="0"/>
    <xf numFmtId="0" fontId="11" fillId="6" borderId="0"/>
    <xf numFmtId="0" fontId="11" fillId="6" borderId="0"/>
    <xf numFmtId="0" fontId="11" fillId="6" borderId="0"/>
    <xf numFmtId="0" fontId="11" fillId="6" borderId="0"/>
    <xf numFmtId="0" fontId="11" fillId="6" borderId="0"/>
    <xf numFmtId="0" fontId="11" fillId="6" borderId="0"/>
    <xf numFmtId="0" fontId="11" fillId="6" borderId="0"/>
    <xf numFmtId="0" fontId="11" fillId="7" borderId="0"/>
    <xf numFmtId="0" fontId="11" fillId="7" borderId="0"/>
    <xf numFmtId="0" fontId="11" fillId="7" borderId="0"/>
    <xf numFmtId="0" fontId="11" fillId="7" borderId="0"/>
    <xf numFmtId="0" fontId="11" fillId="7" borderId="0"/>
    <xf numFmtId="0" fontId="11" fillId="7" borderId="0"/>
    <xf numFmtId="0" fontId="11" fillId="7" borderId="0"/>
    <xf numFmtId="0" fontId="11" fillId="7" borderId="0"/>
    <xf numFmtId="0" fontId="11" fillId="7" borderId="0"/>
    <xf numFmtId="0" fontId="11" fillId="7" borderId="0"/>
    <xf numFmtId="0" fontId="11" fillId="7" borderId="0"/>
    <xf numFmtId="0" fontId="11" fillId="7" borderId="0"/>
    <xf numFmtId="0" fontId="11" fillId="7" borderId="0"/>
    <xf numFmtId="0" fontId="11" fillId="7" borderId="0"/>
    <xf numFmtId="0" fontId="11" fillId="7" borderId="0"/>
    <xf numFmtId="0" fontId="11" fillId="7" borderId="0"/>
    <xf numFmtId="0" fontId="11" fillId="7" borderId="0"/>
    <xf numFmtId="0" fontId="11" fillId="7" borderId="0"/>
    <xf numFmtId="0" fontId="11" fillId="7" borderId="0"/>
    <xf numFmtId="0" fontId="11" fillId="7" borderId="0"/>
    <xf numFmtId="0" fontId="11" fillId="2" borderId="0"/>
    <xf numFmtId="0" fontId="11" fillId="2" borderId="0"/>
    <xf numFmtId="0" fontId="11" fillId="2" borderId="0"/>
    <xf numFmtId="0" fontId="11" fillId="2" borderId="0"/>
    <xf numFmtId="0" fontId="11" fillId="3" borderId="0"/>
    <xf numFmtId="0" fontId="11" fillId="3" borderId="0"/>
    <xf numFmtId="0" fontId="11" fillId="3" borderId="0"/>
    <xf numFmtId="0" fontId="11" fillId="3" borderId="0"/>
    <xf numFmtId="0" fontId="11" fillId="4" borderId="0"/>
    <xf numFmtId="0" fontId="11" fillId="4" borderId="0"/>
    <xf numFmtId="0" fontId="11" fillId="4" borderId="0"/>
    <xf numFmtId="0" fontId="11" fillId="4" borderId="0"/>
    <xf numFmtId="0" fontId="11" fillId="5" borderId="0"/>
    <xf numFmtId="0" fontId="11" fillId="5" borderId="0"/>
    <xf numFmtId="0" fontId="11" fillId="5" borderId="0"/>
    <xf numFmtId="0" fontId="11" fillId="5" borderId="0"/>
    <xf numFmtId="0" fontId="11" fillId="6" borderId="0"/>
    <xf numFmtId="0" fontId="11" fillId="6" borderId="0"/>
    <xf numFmtId="0" fontId="11" fillId="6" borderId="0"/>
    <xf numFmtId="0" fontId="11" fillId="6" borderId="0"/>
    <xf numFmtId="0" fontId="11" fillId="7" borderId="0"/>
    <xf numFmtId="0" fontId="11" fillId="7" borderId="0"/>
    <xf numFmtId="0" fontId="11" fillId="7" borderId="0"/>
    <xf numFmtId="0" fontId="11" fillId="7" borderId="0"/>
    <xf numFmtId="0" fontId="11" fillId="8" borderId="0"/>
    <xf numFmtId="0" fontId="11" fillId="8" borderId="0"/>
    <xf numFmtId="0" fontId="11" fillId="8" borderId="0"/>
    <xf numFmtId="0" fontId="11" fillId="8" borderId="0"/>
    <xf numFmtId="0" fontId="11" fillId="8" borderId="0"/>
    <xf numFmtId="0" fontId="11" fillId="8" borderId="0"/>
    <xf numFmtId="0" fontId="11" fillId="8" borderId="0"/>
    <xf numFmtId="0" fontId="11" fillId="8" borderId="0"/>
    <xf numFmtId="0" fontId="11" fillId="8" borderId="0"/>
    <xf numFmtId="0" fontId="11" fillId="8" borderId="0"/>
    <xf numFmtId="0" fontId="11" fillId="8" borderId="0"/>
    <xf numFmtId="0" fontId="11" fillId="8" borderId="0"/>
    <xf numFmtId="0" fontId="11" fillId="8" borderId="0"/>
    <xf numFmtId="0" fontId="11" fillId="8" borderId="0"/>
    <xf numFmtId="0" fontId="11" fillId="8" borderId="0"/>
    <xf numFmtId="0" fontId="11" fillId="8" borderId="0"/>
    <xf numFmtId="0" fontId="11" fillId="8" borderId="0"/>
    <xf numFmtId="0" fontId="11" fillId="8" borderId="0"/>
    <xf numFmtId="0" fontId="11" fillId="8" borderId="0"/>
    <xf numFmtId="0" fontId="11" fillId="8" borderId="0"/>
    <xf numFmtId="0" fontId="11" fillId="9" borderId="0"/>
    <xf numFmtId="0" fontId="11" fillId="9" borderId="0"/>
    <xf numFmtId="0" fontId="11" fillId="9" borderId="0"/>
    <xf numFmtId="0" fontId="11" fillId="9" borderId="0"/>
    <xf numFmtId="0" fontId="11" fillId="9" borderId="0"/>
    <xf numFmtId="0" fontId="11" fillId="9" borderId="0"/>
    <xf numFmtId="0" fontId="11" fillId="9" borderId="0"/>
    <xf numFmtId="0" fontId="11" fillId="9" borderId="0"/>
    <xf numFmtId="0" fontId="11" fillId="9" borderId="0"/>
    <xf numFmtId="0" fontId="11" fillId="9" borderId="0"/>
    <xf numFmtId="0" fontId="11" fillId="9" borderId="0"/>
    <xf numFmtId="0" fontId="11" fillId="9" borderId="0"/>
    <xf numFmtId="0" fontId="11" fillId="9" borderId="0"/>
    <xf numFmtId="0" fontId="11" fillId="9" borderId="0"/>
    <xf numFmtId="0" fontId="11" fillId="9" borderId="0"/>
    <xf numFmtId="0" fontId="11" fillId="9" borderId="0"/>
    <xf numFmtId="0" fontId="11" fillId="9" borderId="0"/>
    <xf numFmtId="0" fontId="11" fillId="9" borderId="0"/>
    <xf numFmtId="0" fontId="11" fillId="9" borderId="0"/>
    <xf numFmtId="0" fontId="11" fillId="9" borderId="0"/>
    <xf numFmtId="0" fontId="11" fillId="10" borderId="0"/>
    <xf numFmtId="0" fontId="11" fillId="10" borderId="0"/>
    <xf numFmtId="0" fontId="11" fillId="10" borderId="0"/>
    <xf numFmtId="0" fontId="11" fillId="10" borderId="0"/>
    <xf numFmtId="0" fontId="11" fillId="10" borderId="0"/>
    <xf numFmtId="0" fontId="11" fillId="10" borderId="0"/>
    <xf numFmtId="0" fontId="11" fillId="10" borderId="0"/>
    <xf numFmtId="0" fontId="11" fillId="10" borderId="0"/>
    <xf numFmtId="0" fontId="11" fillId="10" borderId="0"/>
    <xf numFmtId="0" fontId="11" fillId="10" borderId="0"/>
    <xf numFmtId="0" fontId="11" fillId="10" borderId="0"/>
    <xf numFmtId="0" fontId="11" fillId="10" borderId="0"/>
    <xf numFmtId="0" fontId="11" fillId="10" borderId="0"/>
    <xf numFmtId="0" fontId="11" fillId="10" borderId="0"/>
    <xf numFmtId="0" fontId="11" fillId="10" borderId="0"/>
    <xf numFmtId="0" fontId="11" fillId="10" borderId="0"/>
    <xf numFmtId="0" fontId="11" fillId="10" borderId="0"/>
    <xf numFmtId="0" fontId="11" fillId="10" borderId="0"/>
    <xf numFmtId="0" fontId="11" fillId="10" borderId="0"/>
    <xf numFmtId="0" fontId="11" fillId="10" borderId="0"/>
    <xf numFmtId="0" fontId="11" fillId="11" borderId="0"/>
    <xf numFmtId="0" fontId="11" fillId="11" borderId="0"/>
    <xf numFmtId="0" fontId="11" fillId="11" borderId="0"/>
    <xf numFmtId="0" fontId="11" fillId="11" borderId="0"/>
    <xf numFmtId="0" fontId="11" fillId="11" borderId="0"/>
    <xf numFmtId="0" fontId="11" fillId="11" borderId="0"/>
    <xf numFmtId="0" fontId="11" fillId="11" borderId="0"/>
    <xf numFmtId="0" fontId="11" fillId="11" borderId="0"/>
    <xf numFmtId="0" fontId="11" fillId="11" borderId="0"/>
    <xf numFmtId="0" fontId="11" fillId="11" borderId="0"/>
    <xf numFmtId="0" fontId="11" fillId="11" borderId="0"/>
    <xf numFmtId="0" fontId="11" fillId="11" borderId="0"/>
    <xf numFmtId="0" fontId="11" fillId="11" borderId="0"/>
    <xf numFmtId="0" fontId="11" fillId="11" borderId="0"/>
    <xf numFmtId="0" fontId="11" fillId="11" borderId="0"/>
    <xf numFmtId="0" fontId="11" fillId="11" borderId="0"/>
    <xf numFmtId="0" fontId="11" fillId="11" borderId="0"/>
    <xf numFmtId="0" fontId="11" fillId="11" borderId="0"/>
    <xf numFmtId="0" fontId="11" fillId="11" borderId="0"/>
    <xf numFmtId="0" fontId="11" fillId="11" borderId="0"/>
    <xf numFmtId="0" fontId="11" fillId="12" borderId="0"/>
    <xf numFmtId="0" fontId="11" fillId="12" borderId="0"/>
    <xf numFmtId="0" fontId="11" fillId="12" borderId="0"/>
    <xf numFmtId="0" fontId="11" fillId="12" borderId="0"/>
    <xf numFmtId="0" fontId="11" fillId="12" borderId="0"/>
    <xf numFmtId="0" fontId="11" fillId="12" borderId="0"/>
    <xf numFmtId="0" fontId="11" fillId="12" borderId="0"/>
    <xf numFmtId="0" fontId="11" fillId="12" borderId="0"/>
    <xf numFmtId="0" fontId="11" fillId="12" borderId="0"/>
    <xf numFmtId="0" fontId="11" fillId="12" borderId="0"/>
    <xf numFmtId="0" fontId="11" fillId="12" borderId="0"/>
    <xf numFmtId="0" fontId="11" fillId="12" borderId="0"/>
    <xf numFmtId="0" fontId="11" fillId="12" borderId="0"/>
    <xf numFmtId="0" fontId="11" fillId="12" borderId="0"/>
    <xf numFmtId="0" fontId="11" fillId="12" borderId="0"/>
    <xf numFmtId="0" fontId="11" fillId="12" borderId="0"/>
    <xf numFmtId="0" fontId="11" fillId="12" borderId="0"/>
    <xf numFmtId="0" fontId="11" fillId="12" borderId="0"/>
    <xf numFmtId="0" fontId="11" fillId="12" borderId="0"/>
    <xf numFmtId="0" fontId="11" fillId="12" borderId="0"/>
    <xf numFmtId="0" fontId="11" fillId="13" borderId="0"/>
    <xf numFmtId="0" fontId="11" fillId="13" borderId="0"/>
    <xf numFmtId="0" fontId="11" fillId="13" borderId="0"/>
    <xf numFmtId="0" fontId="11" fillId="13" borderId="0"/>
    <xf numFmtId="0" fontId="11" fillId="13" borderId="0"/>
    <xf numFmtId="0" fontId="11" fillId="13" borderId="0"/>
    <xf numFmtId="0" fontId="11" fillId="13" borderId="0"/>
    <xf numFmtId="0" fontId="11" fillId="13" borderId="0"/>
    <xf numFmtId="0" fontId="11" fillId="13" borderId="0"/>
    <xf numFmtId="0" fontId="11" fillId="13" borderId="0"/>
    <xf numFmtId="0" fontId="11" fillId="13" borderId="0"/>
    <xf numFmtId="0" fontId="11" fillId="13" borderId="0"/>
    <xf numFmtId="0" fontId="11" fillId="13" borderId="0"/>
    <xf numFmtId="0" fontId="11" fillId="13" borderId="0"/>
    <xf numFmtId="0" fontId="11" fillId="13" borderId="0"/>
    <xf numFmtId="0" fontId="11" fillId="13" borderId="0"/>
    <xf numFmtId="0" fontId="11" fillId="13" borderId="0"/>
    <xf numFmtId="0" fontId="11" fillId="13" borderId="0"/>
    <xf numFmtId="0" fontId="11" fillId="13" borderId="0"/>
    <xf numFmtId="0" fontId="11" fillId="13" borderId="0"/>
    <xf numFmtId="0" fontId="11" fillId="8" borderId="0"/>
    <xf numFmtId="0" fontId="11" fillId="8" borderId="0"/>
    <xf numFmtId="0" fontId="11" fillId="8" borderId="0"/>
    <xf numFmtId="0" fontId="11" fillId="8" borderId="0"/>
    <xf numFmtId="0" fontId="11" fillId="9" borderId="0"/>
    <xf numFmtId="0" fontId="11" fillId="9" borderId="0"/>
    <xf numFmtId="0" fontId="11" fillId="9" borderId="0"/>
    <xf numFmtId="0" fontId="11" fillId="9" borderId="0"/>
    <xf numFmtId="0" fontId="11" fillId="10" borderId="0"/>
    <xf numFmtId="0" fontId="11" fillId="10" borderId="0"/>
    <xf numFmtId="0" fontId="11" fillId="10" borderId="0"/>
    <xf numFmtId="0" fontId="11" fillId="10" borderId="0"/>
    <xf numFmtId="0" fontId="11" fillId="11" borderId="0"/>
    <xf numFmtId="0" fontId="11" fillId="11" borderId="0"/>
    <xf numFmtId="0" fontId="11" fillId="11" borderId="0"/>
    <xf numFmtId="0" fontId="11" fillId="11" borderId="0"/>
    <xf numFmtId="0" fontId="11" fillId="12" borderId="0"/>
    <xf numFmtId="0" fontId="11" fillId="12" borderId="0"/>
    <xf numFmtId="0" fontId="11" fillId="12" borderId="0"/>
    <xf numFmtId="0" fontId="11" fillId="12" borderId="0"/>
    <xf numFmtId="0" fontId="11" fillId="13" borderId="0"/>
    <xf numFmtId="0" fontId="11" fillId="13" borderId="0"/>
    <xf numFmtId="0" fontId="11" fillId="13" borderId="0"/>
    <xf numFmtId="0" fontId="11" fillId="13" borderId="0"/>
    <xf numFmtId="0" fontId="12" fillId="14" borderId="0"/>
    <xf numFmtId="0" fontId="12" fillId="14" borderId="0"/>
    <xf numFmtId="0" fontId="12" fillId="14" borderId="0"/>
    <xf numFmtId="0" fontId="12" fillId="14" borderId="0"/>
    <xf numFmtId="0" fontId="12" fillId="15" borderId="0"/>
    <xf numFmtId="0" fontId="12" fillId="15" borderId="0"/>
    <xf numFmtId="0" fontId="12" fillId="15" borderId="0"/>
    <xf numFmtId="0" fontId="12" fillId="15" borderId="0"/>
    <xf numFmtId="0" fontId="12" fillId="16" borderId="0"/>
    <xf numFmtId="0" fontId="12" fillId="16" borderId="0"/>
    <xf numFmtId="0" fontId="12" fillId="16" borderId="0"/>
    <xf numFmtId="0" fontId="12" fillId="16" borderId="0"/>
    <xf numFmtId="0" fontId="12" fillId="17" borderId="0"/>
    <xf numFmtId="0" fontId="12" fillId="17" borderId="0"/>
    <xf numFmtId="0" fontId="12" fillId="17" borderId="0"/>
    <xf numFmtId="0" fontId="12" fillId="17" borderId="0"/>
    <xf numFmtId="0" fontId="12" fillId="18" borderId="0"/>
    <xf numFmtId="0" fontId="12" fillId="18" borderId="0"/>
    <xf numFmtId="0" fontId="12" fillId="18" borderId="0"/>
    <xf numFmtId="0" fontId="12" fillId="18" borderId="0"/>
    <xf numFmtId="0" fontId="12" fillId="19" borderId="0"/>
    <xf numFmtId="0" fontId="12" fillId="19" borderId="0"/>
    <xf numFmtId="0" fontId="12" fillId="19" borderId="0"/>
    <xf numFmtId="0" fontId="12" fillId="19" borderId="0"/>
    <xf numFmtId="0" fontId="7" fillId="0" borderId="0"/>
    <xf numFmtId="0" fontId="6" fillId="0" borderId="0" applyAlignment="1">
      <alignment vertical="center"/>
    </xf>
    <xf numFmtId="0" fontId="11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11" fillId="0" borderId="0"/>
    <xf numFmtId="0" fontId="11" fillId="0" borderId="0"/>
    <xf numFmtId="0" fontId="6" fillId="0" borderId="0" applyAlignment="1">
      <alignment vertical="center"/>
    </xf>
    <xf numFmtId="0" fontId="11" fillId="0" borderId="0"/>
    <xf numFmtId="0" fontId="6" fillId="0" borderId="0" applyAlignment="1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 applyAlignment="1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11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/>
    <xf numFmtId="0" fontId="11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11" fillId="0" borderId="0" applyAlignment="1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0" borderId="13"/>
    <xf numFmtId="0" fontId="11" fillId="20" borderId="13"/>
    <xf numFmtId="0" fontId="11" fillId="20" borderId="13"/>
    <xf numFmtId="0" fontId="11" fillId="20" borderId="13"/>
    <xf numFmtId="0" fontId="11" fillId="20" borderId="13"/>
    <xf numFmtId="0" fontId="11" fillId="20" borderId="13"/>
    <xf numFmtId="0" fontId="11" fillId="20" borderId="13"/>
    <xf numFmtId="0" fontId="11" fillId="20" borderId="13"/>
    <xf numFmtId="0" fontId="11" fillId="20" borderId="13"/>
    <xf numFmtId="0" fontId="11" fillId="20" borderId="13"/>
    <xf numFmtId="0" fontId="11" fillId="20" borderId="13"/>
    <xf numFmtId="0" fontId="11" fillId="20" borderId="13"/>
    <xf numFmtId="0" fontId="11" fillId="20" borderId="13"/>
    <xf numFmtId="0" fontId="11" fillId="20" borderId="13"/>
    <xf numFmtId="0" fontId="11" fillId="20" borderId="13"/>
    <xf numFmtId="0" fontId="11" fillId="20" borderId="13"/>
    <xf numFmtId="0" fontId="11" fillId="20" borderId="13"/>
    <xf numFmtId="0" fontId="11" fillId="20" borderId="13"/>
    <xf numFmtId="0" fontId="11" fillId="20" borderId="13"/>
    <xf numFmtId="0" fontId="11" fillId="20" borderId="13"/>
    <xf numFmtId="0" fontId="11" fillId="20" borderId="13"/>
    <xf numFmtId="0" fontId="11" fillId="20" borderId="13"/>
    <xf numFmtId="0" fontId="11" fillId="20" borderId="13"/>
    <xf numFmtId="0" fontId="11" fillId="20" borderId="13"/>
    <xf numFmtId="0" fontId="12" fillId="21" borderId="0"/>
    <xf numFmtId="0" fontId="12" fillId="21" borderId="0"/>
    <xf numFmtId="0" fontId="12" fillId="21" borderId="0"/>
    <xf numFmtId="0" fontId="12" fillId="21" borderId="0"/>
    <xf numFmtId="0" fontId="12" fillId="22" borderId="0"/>
    <xf numFmtId="0" fontId="12" fillId="22" borderId="0"/>
    <xf numFmtId="0" fontId="12" fillId="22" borderId="0"/>
    <xf numFmtId="0" fontId="12" fillId="22" borderId="0"/>
    <xf numFmtId="0" fontId="12" fillId="23" borderId="0"/>
    <xf numFmtId="0" fontId="12" fillId="23" borderId="0"/>
    <xf numFmtId="0" fontId="12" fillId="23" borderId="0"/>
    <xf numFmtId="0" fontId="12" fillId="23" borderId="0"/>
    <xf numFmtId="0" fontId="12" fillId="24" borderId="0"/>
    <xf numFmtId="0" fontId="12" fillId="24" borderId="0"/>
    <xf numFmtId="0" fontId="12" fillId="24" borderId="0"/>
    <xf numFmtId="0" fontId="12" fillId="24" borderId="0"/>
    <xf numFmtId="0" fontId="12" fillId="25" borderId="0"/>
    <xf numFmtId="0" fontId="12" fillId="25" borderId="0"/>
    <xf numFmtId="0" fontId="12" fillId="25" borderId="0"/>
    <xf numFmtId="0" fontId="12" fillId="25" borderId="0"/>
    <xf numFmtId="0" fontId="12" fillId="26" borderId="0"/>
    <xf numFmtId="0" fontId="12" fillId="26" borderId="0"/>
    <xf numFmtId="0" fontId="12" fillId="26" borderId="0"/>
    <xf numFmtId="0" fontId="12" fillId="26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4" fillId="27" borderId="14"/>
    <xf numFmtId="0" fontId="14" fillId="27" borderId="14"/>
    <xf numFmtId="0" fontId="14" fillId="27" borderId="14"/>
    <xf numFmtId="0" fontId="14" fillId="27" borderId="14"/>
    <xf numFmtId="0" fontId="15" fillId="28" borderId="0"/>
    <xf numFmtId="0" fontId="15" fillId="28" borderId="0"/>
    <xf numFmtId="0" fontId="15" fillId="28" borderId="0"/>
    <xf numFmtId="0" fontId="15" fillId="28" borderId="0"/>
    <xf numFmtId="9" fontId="6" fillId="0" borderId="0" applyAlignment="1">
      <alignment vertical="center"/>
    </xf>
    <xf numFmtId="9" fontId="6" fillId="0" borderId="0" applyAlignment="1">
      <alignment vertical="center"/>
    </xf>
    <xf numFmtId="9" fontId="6" fillId="0" borderId="0" applyAlignment="1">
      <alignment vertical="center"/>
    </xf>
    <xf numFmtId="9" fontId="6" fillId="0" borderId="0" applyAlignment="1">
      <alignment vertical="center"/>
    </xf>
    <xf numFmtId="0" fontId="16" fillId="29" borderId="0"/>
    <xf numFmtId="0" fontId="16" fillId="29" borderId="0"/>
    <xf numFmtId="0" fontId="16" fillId="29" borderId="0"/>
    <xf numFmtId="0" fontId="16" fillId="29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30" borderId="15"/>
    <xf numFmtId="0" fontId="18" fillId="30" borderId="15"/>
    <xf numFmtId="0" fontId="18" fillId="30" borderId="15"/>
    <xf numFmtId="0" fontId="18" fillId="30" borderId="15"/>
    <xf numFmtId="43" fontId="6" fillId="0" borderId="0" applyAlignment="1">
      <alignment vertical="center"/>
    </xf>
    <xf numFmtId="43" fontId="6" fillId="0" borderId="0" applyAlignment="1">
      <alignment vertical="center"/>
    </xf>
    <xf numFmtId="43" fontId="6" fillId="0" borderId="0" applyAlignment="1">
      <alignment vertical="center"/>
    </xf>
    <xf numFmtId="43" fontId="6" fillId="0" borderId="0" applyAlignment="1">
      <alignment vertical="center"/>
    </xf>
    <xf numFmtId="43" fontId="6" fillId="0" borderId="0" applyAlignment="1">
      <alignment vertical="center"/>
    </xf>
    <xf numFmtId="43" fontId="6" fillId="0" borderId="0" applyAlignment="1">
      <alignment vertical="center"/>
    </xf>
    <xf numFmtId="43" fontId="6" fillId="0" borderId="0" applyAlignment="1">
      <alignment vertical="center"/>
    </xf>
    <xf numFmtId="43" fontId="6" fillId="0" borderId="0" applyAlignment="1">
      <alignment vertical="center"/>
    </xf>
    <xf numFmtId="43" fontId="6" fillId="0" borderId="0" applyAlignment="1">
      <alignment vertical="center"/>
    </xf>
    <xf numFmtId="43" fontId="6" fillId="0" borderId="0" applyAlignment="1">
      <alignment vertical="center"/>
    </xf>
    <xf numFmtId="43" fontId="6" fillId="0" borderId="0" applyAlignment="1">
      <alignment vertical="center"/>
    </xf>
    <xf numFmtId="43" fontId="6" fillId="0" borderId="0" applyAlignment="1">
      <alignment vertical="center"/>
    </xf>
    <xf numFmtId="0" fontId="19" fillId="0" borderId="16"/>
    <xf numFmtId="0" fontId="19" fillId="0" borderId="16"/>
    <xf numFmtId="0" fontId="19" fillId="0" borderId="16"/>
    <xf numFmtId="0" fontId="19" fillId="0" borderId="16"/>
    <xf numFmtId="0" fontId="20" fillId="0" borderId="17"/>
    <xf numFmtId="0" fontId="20" fillId="0" borderId="17"/>
    <xf numFmtId="0" fontId="20" fillId="0" borderId="17"/>
    <xf numFmtId="0" fontId="20" fillId="0" borderId="17"/>
    <xf numFmtId="0" fontId="21" fillId="31" borderId="14"/>
    <xf numFmtId="0" fontId="21" fillId="31" borderId="14"/>
    <xf numFmtId="0" fontId="21" fillId="31" borderId="14"/>
    <xf numFmtId="0" fontId="21" fillId="31" borderId="14"/>
    <xf numFmtId="0" fontId="23" fillId="0" borderId="18"/>
    <xf numFmtId="0" fontId="23" fillId="0" borderId="18"/>
    <xf numFmtId="0" fontId="23" fillId="0" borderId="18"/>
    <xf numFmtId="0" fontId="23" fillId="0" borderId="18"/>
    <xf numFmtId="0" fontId="24" fillId="0" borderId="19"/>
    <xf numFmtId="0" fontId="24" fillId="0" borderId="19"/>
    <xf numFmtId="0" fontId="24" fillId="0" borderId="19"/>
    <xf numFmtId="0" fontId="24" fillId="0" borderId="19"/>
    <xf numFmtId="0" fontId="25" fillId="0" borderId="20"/>
    <xf numFmtId="0" fontId="25" fillId="0" borderId="20"/>
    <xf numFmtId="0" fontId="25" fillId="0" borderId="20"/>
    <xf numFmtId="0" fontId="25" fillId="0" borderId="2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32" borderId="0"/>
    <xf numFmtId="0" fontId="26" fillId="32" borderId="0"/>
    <xf numFmtId="0" fontId="26" fillId="32" borderId="0"/>
    <xf numFmtId="0" fontId="26" fillId="32" borderId="0"/>
    <xf numFmtId="0" fontId="27" fillId="27" borderId="21"/>
    <xf numFmtId="0" fontId="27" fillId="27" borderId="21"/>
    <xf numFmtId="0" fontId="27" fillId="27" borderId="21"/>
    <xf numFmtId="0" fontId="27" fillId="27" borderId="21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6" fillId="0" borderId="0" applyAlignment="1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11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10" fillId="0" borderId="0"/>
    <xf numFmtId="0" fontId="6" fillId="0" borderId="0" applyAlignment="1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 applyAlignment="1">
      <alignment vertical="center"/>
    </xf>
    <xf numFmtId="0" fontId="11" fillId="0" borderId="0"/>
    <xf numFmtId="0" fontId="11" fillId="0" borderId="0"/>
    <xf numFmtId="0" fontId="11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11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11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9" fillId="0" borderId="0"/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 applyAlignment="1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 applyAlignment="1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 applyAlignment="1">
      <alignment vertical="center"/>
    </xf>
    <xf numFmtId="0" fontId="11" fillId="0" borderId="0"/>
    <xf numFmtId="0" fontId="11" fillId="0" borderId="0" applyAlignment="1">
      <alignment vertical="center"/>
    </xf>
    <xf numFmtId="0" fontId="11" fillId="0" borderId="0"/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/>
    <xf numFmtId="0" fontId="11" fillId="0" borderId="0"/>
    <xf numFmtId="0" fontId="11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11" fillId="0" borderId="0"/>
    <xf numFmtId="0" fontId="11" fillId="0" borderId="0"/>
    <xf numFmtId="0" fontId="11" fillId="0" borderId="0" applyAlignment="1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 applyAlignment="1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 applyAlignment="1">
      <alignment vertical="center"/>
    </xf>
    <xf numFmtId="0" fontId="6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11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6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/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6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11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/>
    <xf numFmtId="0" fontId="11" fillId="0" borderId="0"/>
    <xf numFmtId="0" fontId="11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11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 applyAlignment="1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 applyAlignment="1">
      <alignment vertical="center"/>
    </xf>
    <xf numFmtId="0" fontId="11" fillId="0" borderId="0"/>
    <xf numFmtId="0" fontId="6" fillId="0" borderId="0" applyAlignment="1">
      <alignment vertical="center"/>
    </xf>
    <xf numFmtId="0" fontId="11" fillId="0" borderId="0"/>
    <xf numFmtId="0" fontId="6" fillId="0" borderId="0" applyAlignment="1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6" fillId="0" borderId="0" applyAlignment="1">
      <alignment vertical="center"/>
    </xf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11" fillId="0" borderId="0"/>
    <xf numFmtId="0" fontId="11" fillId="0" borderId="0"/>
    <xf numFmtId="0" fontId="11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/>
    <xf numFmtId="0" fontId="6" fillId="0" borderId="0" applyAlignment="1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11" fillId="0" borderId="0" applyAlignment="1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 applyAlignment="1">
      <alignment vertical="center"/>
    </xf>
    <xf numFmtId="0" fontId="11" fillId="0" borderId="0"/>
    <xf numFmtId="0" fontId="6" fillId="0" borderId="0" applyAlignment="1">
      <alignment vertical="center"/>
    </xf>
    <xf numFmtId="0" fontId="11" fillId="0" borderId="0"/>
    <xf numFmtId="0" fontId="11" fillId="0" borderId="0"/>
    <xf numFmtId="0" fontId="11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/>
    <xf numFmtId="0" fontId="6" fillId="0" borderId="0" applyAlignment="1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6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11" fillId="0" borderId="0"/>
    <xf numFmtId="0" fontId="11" fillId="0" borderId="0"/>
    <xf numFmtId="0" fontId="6" fillId="0" borderId="0" applyAlignment="1">
      <alignment vertical="center"/>
    </xf>
    <xf numFmtId="0" fontId="11" fillId="0" borderId="0"/>
    <xf numFmtId="0" fontId="6" fillId="0" borderId="0" applyAlignment="1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 applyAlignment="1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/>
    <xf numFmtId="0" fontId="11" fillId="0" borderId="0"/>
    <xf numFmtId="0" fontId="11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11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11" fillId="0" borderId="0" applyAlignment="1">
      <alignment vertical="center"/>
    </xf>
    <xf numFmtId="0" fontId="11" fillId="0" borderId="0"/>
    <xf numFmtId="0" fontId="6" fillId="0" borderId="0" applyAlignment="1">
      <alignment vertical="center"/>
    </xf>
    <xf numFmtId="0" fontId="11" fillId="0" borderId="0"/>
    <xf numFmtId="0" fontId="11" fillId="0" borderId="0" applyAlignment="1">
      <alignment vertical="center"/>
    </xf>
    <xf numFmtId="0" fontId="11" fillId="0" borderId="0" applyAlignment="1">
      <alignment vertical="center"/>
    </xf>
    <xf numFmtId="0" fontId="6" fillId="0" borderId="0" applyAlignment="1">
      <alignment vertical="center"/>
    </xf>
    <xf numFmtId="0" fontId="11" fillId="0" borderId="0"/>
    <xf numFmtId="0" fontId="6" fillId="0" borderId="0" applyAlignment="1">
      <alignment vertical="center"/>
    </xf>
    <xf numFmtId="0" fontId="11" fillId="0" borderId="0"/>
    <xf numFmtId="0" fontId="11" fillId="0" borderId="0"/>
    <xf numFmtId="0" fontId="11" fillId="0" borderId="0" applyAlignment="1">
      <alignment vertical="center"/>
    </xf>
    <xf numFmtId="0" fontId="11" fillId="0" borderId="0"/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6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6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/>
    <xf numFmtId="0" fontId="11" fillId="0" borderId="0"/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/>
    <xf numFmtId="0" fontId="11" fillId="0" borderId="0"/>
    <xf numFmtId="0" fontId="6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 applyAlignment="1">
      <alignment vertical="center"/>
    </xf>
    <xf numFmtId="0" fontId="6" fillId="0" borderId="0" applyAlignment="1">
      <alignment vertical="center"/>
    </xf>
    <xf numFmtId="0" fontId="11" fillId="0" borderId="0" applyAlignment="1">
      <alignment vertical="center"/>
    </xf>
    <xf numFmtId="0" fontId="6" fillId="0" borderId="0" applyAlignment="1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 applyAlignment="1">
      <alignment vertical="center"/>
    </xf>
    <xf numFmtId="0" fontId="11" fillId="0" borderId="0"/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11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/>
    <xf numFmtId="0" fontId="11" fillId="0" borderId="0"/>
    <xf numFmtId="0" fontId="11" fillId="0" borderId="0"/>
    <xf numFmtId="0" fontId="7" fillId="0" borderId="0"/>
    <xf numFmtId="0" fontId="5" fillId="0" borderId="0" applyAlignment="1">
      <alignment vertical="center"/>
    </xf>
    <xf numFmtId="0" fontId="6" fillId="0" borderId="0" applyAlignment="1">
      <alignment vertical="center"/>
    </xf>
    <xf numFmtId="0" fontId="11" fillId="33" borderId="0"/>
    <xf numFmtId="0" fontId="11" fillId="33" borderId="0"/>
    <xf numFmtId="0" fontId="11" fillId="33" borderId="0"/>
    <xf numFmtId="0" fontId="11" fillId="33" borderId="0"/>
    <xf numFmtId="0" fontId="11" fillId="33" borderId="0"/>
    <xf numFmtId="0" fontId="11" fillId="33" borderId="0"/>
    <xf numFmtId="0" fontId="11" fillId="33" borderId="0"/>
    <xf numFmtId="0" fontId="11" fillId="33" borderId="0"/>
    <xf numFmtId="0" fontId="11" fillId="33" borderId="0"/>
    <xf numFmtId="0" fontId="11" fillId="33" borderId="0"/>
    <xf numFmtId="0" fontId="11" fillId="33" borderId="0"/>
    <xf numFmtId="0" fontId="11" fillId="33" borderId="0"/>
    <xf numFmtId="0" fontId="11" fillId="33" borderId="0"/>
    <xf numFmtId="0" fontId="11" fillId="33" borderId="0"/>
    <xf numFmtId="0" fontId="11" fillId="33" borderId="0"/>
    <xf numFmtId="0" fontId="11" fillId="33" borderId="0"/>
    <xf numFmtId="0" fontId="11" fillId="33" borderId="0"/>
    <xf numFmtId="0" fontId="11" fillId="33" borderId="0"/>
    <xf numFmtId="0" fontId="11" fillId="33" borderId="0"/>
    <xf numFmtId="0" fontId="11" fillId="33" borderId="0"/>
    <xf numFmtId="0" fontId="11" fillId="33" borderId="0"/>
    <xf numFmtId="0" fontId="11" fillId="33" borderId="0"/>
    <xf numFmtId="0" fontId="11" fillId="33" borderId="0"/>
    <xf numFmtId="0" fontId="11" fillId="33" borderId="0"/>
    <xf numFmtId="0" fontId="11" fillId="33" borderId="0"/>
    <xf numFmtId="0" fontId="11" fillId="33" borderId="0"/>
    <xf numFmtId="0" fontId="11" fillId="33" borderId="0"/>
    <xf numFmtId="0" fontId="11" fillId="34" borderId="0"/>
    <xf numFmtId="0" fontId="11" fillId="34" borderId="0"/>
    <xf numFmtId="0" fontId="11" fillId="34" borderId="0"/>
    <xf numFmtId="0" fontId="11" fillId="34" borderId="0"/>
    <xf numFmtId="0" fontId="11" fillId="34" borderId="0"/>
    <xf numFmtId="0" fontId="11" fillId="34" borderId="0"/>
    <xf numFmtId="0" fontId="11" fillId="34" borderId="0"/>
    <xf numFmtId="0" fontId="11" fillId="34" borderId="0"/>
    <xf numFmtId="0" fontId="11" fillId="34" borderId="0"/>
    <xf numFmtId="0" fontId="11" fillId="34" borderId="0"/>
    <xf numFmtId="0" fontId="11" fillId="34" borderId="0"/>
    <xf numFmtId="0" fontId="11" fillId="34" borderId="0"/>
    <xf numFmtId="0" fontId="11" fillId="34" borderId="0"/>
    <xf numFmtId="0" fontId="11" fillId="34" borderId="0"/>
    <xf numFmtId="0" fontId="11" fillId="34" borderId="0"/>
    <xf numFmtId="0" fontId="11" fillId="34" borderId="0"/>
    <xf numFmtId="0" fontId="11" fillId="34" borderId="0"/>
    <xf numFmtId="0" fontId="11" fillId="34" borderId="0"/>
    <xf numFmtId="0" fontId="11" fillId="34" borderId="0"/>
    <xf numFmtId="0" fontId="11" fillId="34" borderId="0"/>
    <xf numFmtId="0" fontId="11" fillId="34" borderId="0"/>
    <xf numFmtId="0" fontId="11" fillId="34" borderId="0"/>
    <xf numFmtId="0" fontId="11" fillId="34" borderId="0"/>
    <xf numFmtId="0" fontId="11" fillId="34" borderId="0"/>
    <xf numFmtId="0" fontId="11" fillId="34" borderId="0"/>
    <xf numFmtId="0" fontId="11" fillId="34" borderId="0"/>
    <xf numFmtId="0" fontId="11" fillId="34" borderId="0"/>
    <xf numFmtId="0" fontId="11" fillId="35" borderId="0"/>
    <xf numFmtId="0" fontId="11" fillId="35" borderId="0"/>
    <xf numFmtId="0" fontId="11" fillId="35" borderId="0"/>
    <xf numFmtId="0" fontId="11" fillId="35" borderId="0"/>
    <xf numFmtId="0" fontId="11" fillId="35" borderId="0"/>
    <xf numFmtId="0" fontId="11" fillId="35" borderId="0"/>
    <xf numFmtId="0" fontId="11" fillId="35" borderId="0"/>
    <xf numFmtId="0" fontId="11" fillId="4" borderId="0"/>
    <xf numFmtId="0" fontId="11" fillId="35" borderId="0"/>
    <xf numFmtId="0" fontId="11" fillId="35" borderId="0"/>
    <xf numFmtId="0" fontId="11" fillId="35" borderId="0"/>
    <xf numFmtId="0" fontId="11" fillId="35" borderId="0"/>
    <xf numFmtId="0" fontId="11" fillId="35" borderId="0"/>
    <xf numFmtId="0" fontId="11" fillId="35" borderId="0"/>
    <xf numFmtId="0" fontId="11" fillId="35" borderId="0"/>
    <xf numFmtId="0" fontId="11" fillId="4" borderId="0"/>
    <xf numFmtId="0" fontId="11" fillId="35" borderId="0"/>
    <xf numFmtId="0" fontId="11" fillId="35" borderId="0"/>
    <xf numFmtId="0" fontId="11" fillId="4" borderId="0"/>
    <xf numFmtId="0" fontId="11" fillId="4" borderId="0"/>
    <xf numFmtId="0" fontId="11" fillId="4" borderId="0"/>
    <xf numFmtId="0" fontId="11" fillId="36" borderId="0"/>
    <xf numFmtId="0" fontId="11" fillId="36" borderId="0"/>
    <xf numFmtId="0" fontId="11" fillId="36" borderId="0"/>
    <xf numFmtId="0" fontId="11" fillId="36" borderId="0"/>
    <xf numFmtId="0" fontId="11" fillId="36" borderId="0"/>
    <xf numFmtId="0" fontId="11" fillId="36" borderId="0"/>
    <xf numFmtId="0" fontId="11" fillId="36" borderId="0"/>
    <xf numFmtId="0" fontId="11" fillId="36" borderId="0"/>
    <xf numFmtId="0" fontId="11" fillId="36" borderId="0"/>
    <xf numFmtId="0" fontId="11" fillId="36" borderId="0"/>
    <xf numFmtId="0" fontId="11" fillId="36" borderId="0"/>
    <xf numFmtId="0" fontId="11" fillId="36" borderId="0"/>
    <xf numFmtId="0" fontId="11" fillId="36" borderId="0"/>
    <xf numFmtId="0" fontId="11" fillId="36" borderId="0"/>
    <xf numFmtId="0" fontId="11" fillId="36" borderId="0"/>
    <xf numFmtId="0" fontId="11" fillId="36" borderId="0"/>
    <xf numFmtId="0" fontId="11" fillId="36" borderId="0"/>
    <xf numFmtId="0" fontId="11" fillId="36" borderId="0"/>
    <xf numFmtId="0" fontId="11" fillId="36" borderId="0"/>
    <xf numFmtId="0" fontId="11" fillId="36" borderId="0"/>
    <xf numFmtId="0" fontId="11" fillId="36" borderId="0"/>
    <xf numFmtId="0" fontId="11" fillId="36" borderId="0"/>
    <xf numFmtId="0" fontId="11" fillId="36" borderId="0"/>
    <xf numFmtId="0" fontId="11" fillId="36" borderId="0"/>
    <xf numFmtId="0" fontId="11" fillId="36" borderId="0"/>
    <xf numFmtId="0" fontId="11" fillId="36" borderId="0"/>
    <xf numFmtId="0" fontId="11" fillId="36" borderId="0"/>
    <xf numFmtId="0" fontId="11" fillId="6" borderId="0"/>
    <xf numFmtId="0" fontId="11" fillId="6" borderId="0"/>
    <xf numFmtId="0" fontId="11" fillId="6" borderId="0"/>
    <xf numFmtId="0" fontId="11" fillId="6" borderId="0"/>
    <xf numFmtId="0" fontId="11" fillId="6" borderId="0"/>
    <xf numFmtId="0" fontId="11" fillId="35" borderId="0"/>
    <xf numFmtId="0" fontId="11" fillId="35" borderId="0"/>
    <xf numFmtId="0" fontId="11" fillId="35" borderId="0"/>
    <xf numFmtId="0" fontId="11" fillId="35" borderId="0"/>
    <xf numFmtId="0" fontId="11" fillId="35" borderId="0"/>
    <xf numFmtId="0" fontId="11" fillId="35" borderId="0"/>
    <xf numFmtId="0" fontId="11" fillId="35" borderId="0"/>
    <xf numFmtId="0" fontId="11" fillId="35" borderId="0"/>
    <xf numFmtId="0" fontId="11" fillId="35" borderId="0"/>
    <xf numFmtId="0" fontId="11" fillId="35" borderId="0"/>
    <xf numFmtId="0" fontId="11" fillId="35" borderId="0"/>
    <xf numFmtId="0" fontId="11" fillId="35" borderId="0"/>
    <xf numFmtId="0" fontId="11" fillId="35" borderId="0"/>
    <xf numFmtId="0" fontId="11" fillId="35" borderId="0"/>
    <xf numFmtId="0" fontId="11" fillId="35" borderId="0"/>
    <xf numFmtId="0" fontId="11" fillId="35" borderId="0"/>
    <xf numFmtId="0" fontId="11" fillId="35" borderId="0"/>
    <xf numFmtId="0" fontId="11" fillId="35" borderId="0"/>
    <xf numFmtId="0" fontId="11" fillId="35" borderId="0"/>
    <xf numFmtId="0" fontId="11" fillId="35" borderId="0"/>
    <xf numFmtId="0" fontId="11" fillId="35" borderId="0"/>
    <xf numFmtId="0" fontId="11" fillId="35" borderId="0"/>
    <xf numFmtId="0" fontId="11" fillId="35" borderId="0"/>
    <xf numFmtId="0" fontId="11" fillId="35" borderId="0"/>
    <xf numFmtId="0" fontId="11" fillId="35" borderId="0"/>
    <xf numFmtId="0" fontId="11" fillId="35" borderId="0"/>
    <xf numFmtId="0" fontId="11" fillId="35" borderId="0"/>
    <xf numFmtId="0" fontId="11" fillId="33" borderId="0" applyAlignment="1">
      <alignment vertical="center"/>
    </xf>
    <xf numFmtId="0" fontId="11" fillId="33" borderId="0" applyAlignment="1">
      <alignment vertical="center"/>
    </xf>
    <xf numFmtId="0" fontId="11" fillId="33" borderId="0"/>
    <xf numFmtId="0" fontId="11" fillId="33" borderId="0"/>
    <xf numFmtId="0" fontId="11" fillId="34" borderId="0" applyAlignment="1">
      <alignment vertical="center"/>
    </xf>
    <xf numFmtId="0" fontId="11" fillId="34" borderId="0" applyAlignment="1">
      <alignment vertical="center"/>
    </xf>
    <xf numFmtId="0" fontId="11" fillId="34" borderId="0"/>
    <xf numFmtId="0" fontId="11" fillId="34" borderId="0"/>
    <xf numFmtId="0" fontId="11" fillId="4" borderId="0" applyAlignment="1">
      <alignment vertical="center"/>
    </xf>
    <xf numFmtId="0" fontId="11" fillId="35" borderId="0" applyAlignment="1">
      <alignment vertical="center"/>
    </xf>
    <xf numFmtId="0" fontId="11" fillId="4" borderId="0"/>
    <xf numFmtId="0" fontId="11" fillId="35" borderId="0"/>
    <xf numFmtId="0" fontId="11" fillId="36" borderId="0" applyAlignment="1">
      <alignment vertical="center"/>
    </xf>
    <xf numFmtId="0" fontId="11" fillId="36" borderId="0" applyAlignment="1">
      <alignment vertical="center"/>
    </xf>
    <xf numFmtId="0" fontId="11" fillId="36" borderId="0"/>
    <xf numFmtId="0" fontId="11" fillId="36" borderId="0"/>
    <xf numFmtId="0" fontId="11" fillId="6" borderId="0" applyAlignment="1">
      <alignment vertical="center"/>
    </xf>
    <xf numFmtId="0" fontId="11" fillId="6" borderId="0"/>
    <xf numFmtId="0" fontId="11" fillId="35" borderId="0" applyAlignment="1">
      <alignment vertical="center"/>
    </xf>
    <xf numFmtId="0" fontId="11" fillId="35" borderId="0" applyAlignment="1">
      <alignment vertical="center"/>
    </xf>
    <xf numFmtId="0" fontId="11" fillId="35" borderId="0"/>
    <xf numFmtId="0" fontId="11" fillId="35" borderId="0"/>
    <xf numFmtId="0" fontId="11" fillId="37" borderId="0"/>
    <xf numFmtId="0" fontId="11" fillId="37" borderId="0"/>
    <xf numFmtId="0" fontId="11" fillId="37" borderId="0"/>
    <xf numFmtId="0" fontId="11" fillId="37" borderId="0"/>
    <xf numFmtId="0" fontId="11" fillId="37" borderId="0"/>
    <xf numFmtId="0" fontId="11" fillId="37" borderId="0"/>
    <xf numFmtId="0" fontId="11" fillId="37" borderId="0"/>
    <xf numFmtId="0" fontId="11" fillId="37" borderId="0"/>
    <xf numFmtId="0" fontId="11" fillId="37" borderId="0"/>
    <xf numFmtId="0" fontId="11" fillId="37" borderId="0"/>
    <xf numFmtId="0" fontId="11" fillId="37" borderId="0"/>
    <xf numFmtId="0" fontId="11" fillId="37" borderId="0"/>
    <xf numFmtId="0" fontId="11" fillId="37" borderId="0"/>
    <xf numFmtId="0" fontId="11" fillId="37" borderId="0"/>
    <xf numFmtId="0" fontId="11" fillId="37" borderId="0"/>
    <xf numFmtId="0" fontId="11" fillId="37" borderId="0"/>
    <xf numFmtId="0" fontId="11" fillId="37" borderId="0"/>
    <xf numFmtId="0" fontId="11" fillId="37" borderId="0"/>
    <xf numFmtId="0" fontId="11" fillId="37" borderId="0"/>
    <xf numFmtId="0" fontId="11" fillId="37" borderId="0"/>
    <xf numFmtId="0" fontId="11" fillId="37" borderId="0"/>
    <xf numFmtId="0" fontId="11" fillId="37" borderId="0"/>
    <xf numFmtId="0" fontId="11" fillId="37" borderId="0"/>
    <xf numFmtId="0" fontId="11" fillId="37" borderId="0"/>
    <xf numFmtId="0" fontId="11" fillId="37" borderId="0"/>
    <xf numFmtId="0" fontId="11" fillId="37" borderId="0"/>
    <xf numFmtId="0" fontId="11" fillId="37" borderId="0"/>
    <xf numFmtId="0" fontId="11" fillId="9" borderId="0"/>
    <xf numFmtId="0" fontId="11" fillId="9" borderId="0"/>
    <xf numFmtId="0" fontId="11" fillId="9" borderId="0"/>
    <xf numFmtId="0" fontId="11" fillId="9" borderId="0"/>
    <xf numFmtId="0" fontId="11" fillId="9" borderId="0"/>
    <xf numFmtId="0" fontId="11" fillId="40" borderId="0"/>
    <xf numFmtId="0" fontId="11" fillId="40" borderId="0"/>
    <xf numFmtId="0" fontId="11" fillId="40" borderId="0"/>
    <xf numFmtId="0" fontId="11" fillId="40" borderId="0"/>
    <xf numFmtId="0" fontId="11" fillId="40" borderId="0"/>
    <xf numFmtId="0" fontId="11" fillId="40" borderId="0"/>
    <xf numFmtId="0" fontId="11" fillId="40" borderId="0"/>
    <xf numFmtId="0" fontId="11" fillId="10" borderId="0"/>
    <xf numFmtId="0" fontId="11" fillId="40" borderId="0"/>
    <xf numFmtId="0" fontId="11" fillId="40" borderId="0"/>
    <xf numFmtId="0" fontId="11" fillId="40" borderId="0"/>
    <xf numFmtId="0" fontId="11" fillId="40" borderId="0"/>
    <xf numFmtId="0" fontId="11" fillId="40" borderId="0"/>
    <xf numFmtId="0" fontId="11" fillId="40" borderId="0"/>
    <xf numFmtId="0" fontId="11" fillId="40" borderId="0"/>
    <xf numFmtId="0" fontId="11" fillId="10" borderId="0"/>
    <xf numFmtId="0" fontId="11" fillId="40" borderId="0"/>
    <xf numFmtId="0" fontId="11" fillId="40" borderId="0"/>
    <xf numFmtId="0" fontId="11" fillId="10" borderId="0"/>
    <xf numFmtId="0" fontId="11" fillId="10" borderId="0"/>
    <xf numFmtId="0" fontId="11" fillId="10" borderId="0"/>
    <xf numFmtId="0" fontId="11" fillId="38" borderId="0"/>
    <xf numFmtId="0" fontId="11" fillId="38" borderId="0"/>
    <xf numFmtId="0" fontId="11" fillId="38" borderId="0"/>
    <xf numFmtId="0" fontId="11" fillId="38" borderId="0"/>
    <xf numFmtId="0" fontId="11" fillId="38" borderId="0"/>
    <xf numFmtId="0" fontId="11" fillId="38" borderId="0"/>
    <xf numFmtId="0" fontId="11" fillId="38" borderId="0"/>
    <xf numFmtId="0" fontId="11" fillId="38" borderId="0"/>
    <xf numFmtId="0" fontId="11" fillId="38" borderId="0"/>
    <xf numFmtId="0" fontId="11" fillId="38" borderId="0"/>
    <xf numFmtId="0" fontId="11" fillId="38" borderId="0"/>
    <xf numFmtId="0" fontId="11" fillId="38" borderId="0"/>
    <xf numFmtId="0" fontId="11" fillId="38" borderId="0"/>
    <xf numFmtId="0" fontId="11" fillId="38" borderId="0"/>
    <xf numFmtId="0" fontId="11" fillId="38" borderId="0"/>
    <xf numFmtId="0" fontId="11" fillId="38" borderId="0"/>
    <xf numFmtId="0" fontId="11" fillId="38" borderId="0"/>
    <xf numFmtId="0" fontId="11" fillId="38" borderId="0"/>
    <xf numFmtId="0" fontId="11" fillId="38" borderId="0"/>
    <xf numFmtId="0" fontId="11" fillId="38" borderId="0"/>
    <xf numFmtId="0" fontId="11" fillId="38" borderId="0"/>
    <xf numFmtId="0" fontId="11" fillId="38" borderId="0"/>
    <xf numFmtId="0" fontId="11" fillId="38" borderId="0"/>
    <xf numFmtId="0" fontId="11" fillId="38" borderId="0"/>
    <xf numFmtId="0" fontId="11" fillId="38" borderId="0"/>
    <xf numFmtId="0" fontId="11" fillId="38" borderId="0"/>
    <xf numFmtId="0" fontId="11" fillId="38" borderId="0"/>
    <xf numFmtId="0" fontId="11" fillId="37" borderId="0"/>
    <xf numFmtId="0" fontId="11" fillId="37" borderId="0"/>
    <xf numFmtId="0" fontId="11" fillId="37" borderId="0"/>
    <xf numFmtId="0" fontId="11" fillId="37" borderId="0"/>
    <xf numFmtId="0" fontId="11" fillId="37" borderId="0"/>
    <xf numFmtId="0" fontId="11" fillId="37" borderId="0"/>
    <xf numFmtId="0" fontId="11" fillId="37" borderId="0"/>
    <xf numFmtId="0" fontId="11" fillId="37" borderId="0"/>
    <xf numFmtId="0" fontId="11" fillId="37" borderId="0"/>
    <xf numFmtId="0" fontId="11" fillId="37" borderId="0"/>
    <xf numFmtId="0" fontId="11" fillId="37" borderId="0"/>
    <xf numFmtId="0" fontId="11" fillId="37" borderId="0"/>
    <xf numFmtId="0" fontId="11" fillId="37" borderId="0"/>
    <xf numFmtId="0" fontId="11" fillId="37" borderId="0"/>
    <xf numFmtId="0" fontId="11" fillId="37" borderId="0"/>
    <xf numFmtId="0" fontId="11" fillId="37" borderId="0"/>
    <xf numFmtId="0" fontId="11" fillId="37" borderId="0"/>
    <xf numFmtId="0" fontId="11" fillId="37" borderId="0"/>
    <xf numFmtId="0" fontId="11" fillId="37" borderId="0"/>
    <xf numFmtId="0" fontId="11" fillId="37" borderId="0"/>
    <xf numFmtId="0" fontId="11" fillId="37" borderId="0"/>
    <xf numFmtId="0" fontId="11" fillId="37" borderId="0"/>
    <xf numFmtId="0" fontId="11" fillId="37" borderId="0"/>
    <xf numFmtId="0" fontId="11" fillId="37" borderId="0"/>
    <xf numFmtId="0" fontId="11" fillId="37" borderId="0"/>
    <xf numFmtId="0" fontId="11" fillId="37" borderId="0"/>
    <xf numFmtId="0" fontId="11" fillId="37" borderId="0"/>
    <xf numFmtId="0" fontId="11" fillId="35" borderId="0"/>
    <xf numFmtId="0" fontId="11" fillId="35" borderId="0"/>
    <xf numFmtId="0" fontId="11" fillId="35" borderId="0"/>
    <xf numFmtId="0" fontId="11" fillId="35" borderId="0"/>
    <xf numFmtId="0" fontId="11" fillId="35" borderId="0"/>
    <xf numFmtId="0" fontId="11" fillId="35" borderId="0"/>
    <xf numFmtId="0" fontId="11" fillId="35" borderId="0"/>
    <xf numFmtId="0" fontId="11" fillId="35" borderId="0"/>
    <xf numFmtId="0" fontId="11" fillId="35" borderId="0"/>
    <xf numFmtId="0" fontId="11" fillId="35" borderId="0"/>
    <xf numFmtId="0" fontId="11" fillId="35" borderId="0"/>
    <xf numFmtId="0" fontId="11" fillId="35" borderId="0"/>
    <xf numFmtId="0" fontId="11" fillId="35" borderId="0"/>
    <xf numFmtId="0" fontId="11" fillId="35" borderId="0"/>
    <xf numFmtId="0" fontId="11" fillId="35" borderId="0"/>
    <xf numFmtId="0" fontId="11" fillId="35" borderId="0"/>
    <xf numFmtId="0" fontId="11" fillId="35" borderId="0"/>
    <xf numFmtId="0" fontId="11" fillId="35" borderId="0"/>
    <xf numFmtId="0" fontId="11" fillId="35" borderId="0"/>
    <xf numFmtId="0" fontId="11" fillId="35" borderId="0"/>
    <xf numFmtId="0" fontId="11" fillId="35" borderId="0"/>
    <xf numFmtId="0" fontId="11" fillId="35" borderId="0"/>
    <xf numFmtId="0" fontId="11" fillId="35" borderId="0"/>
    <xf numFmtId="0" fontId="11" fillId="35" borderId="0"/>
    <xf numFmtId="0" fontId="11" fillId="35" borderId="0"/>
    <xf numFmtId="0" fontId="11" fillId="35" borderId="0"/>
    <xf numFmtId="0" fontId="11" fillId="35" borderId="0"/>
    <xf numFmtId="0" fontId="11" fillId="37" borderId="0" applyAlignment="1">
      <alignment vertical="center"/>
    </xf>
    <xf numFmtId="0" fontId="11" fillId="37" borderId="0" applyAlignment="1">
      <alignment vertical="center"/>
    </xf>
    <xf numFmtId="0" fontId="11" fillId="37" borderId="0"/>
    <xf numFmtId="0" fontId="11" fillId="37" borderId="0"/>
    <xf numFmtId="0" fontId="11" fillId="9" borderId="0" applyAlignment="1">
      <alignment vertical="center"/>
    </xf>
    <xf numFmtId="0" fontId="11" fillId="9" borderId="0"/>
    <xf numFmtId="0" fontId="11" fillId="10" borderId="0" applyAlignment="1">
      <alignment vertical="center"/>
    </xf>
    <xf numFmtId="0" fontId="11" fillId="40" borderId="0" applyAlignment="1">
      <alignment vertical="center"/>
    </xf>
    <xf numFmtId="0" fontId="11" fillId="10" borderId="0"/>
    <xf numFmtId="0" fontId="11" fillId="40" borderId="0"/>
    <xf numFmtId="0" fontId="11" fillId="38" borderId="0" applyAlignment="1">
      <alignment vertical="center"/>
    </xf>
    <xf numFmtId="0" fontId="11" fillId="38" borderId="0" applyAlignment="1">
      <alignment vertical="center"/>
    </xf>
    <xf numFmtId="0" fontId="11" fillId="38" borderId="0"/>
    <xf numFmtId="0" fontId="11" fillId="38" borderId="0"/>
    <xf numFmtId="0" fontId="11" fillId="37" borderId="0" applyAlignment="1">
      <alignment vertical="center"/>
    </xf>
    <xf numFmtId="0" fontId="11" fillId="37" borderId="0" applyAlignment="1">
      <alignment vertical="center"/>
    </xf>
    <xf numFmtId="0" fontId="11" fillId="37" borderId="0"/>
    <xf numFmtId="0" fontId="11" fillId="37" borderId="0"/>
    <xf numFmtId="0" fontId="11" fillId="35" borderId="0" applyAlignment="1">
      <alignment vertical="center"/>
    </xf>
    <xf numFmtId="0" fontId="11" fillId="35" borderId="0" applyAlignment="1">
      <alignment vertical="center"/>
    </xf>
    <xf numFmtId="0" fontId="11" fillId="35" borderId="0"/>
    <xf numFmtId="0" fontId="11" fillId="35" borderId="0"/>
    <xf numFmtId="0" fontId="12" fillId="37" borderId="0"/>
    <xf numFmtId="0" fontId="12" fillId="37" borderId="0"/>
    <xf numFmtId="0" fontId="12" fillId="37" borderId="0"/>
    <xf numFmtId="0" fontId="12" fillId="37" borderId="0"/>
    <xf numFmtId="0" fontId="12" fillId="37" borderId="0"/>
    <xf numFmtId="0" fontId="12" fillId="37" borderId="0"/>
    <xf numFmtId="0" fontId="12" fillId="37" borderId="0"/>
    <xf numFmtId="0" fontId="12" fillId="37" borderId="0"/>
    <xf numFmtId="0" fontId="12" fillId="37" borderId="0"/>
    <xf numFmtId="0" fontId="12" fillId="37" borderId="0"/>
    <xf numFmtId="0" fontId="12" fillId="37" borderId="0"/>
    <xf numFmtId="0" fontId="12" fillId="37" borderId="0"/>
    <xf numFmtId="0" fontId="12" fillId="37" borderId="0"/>
    <xf numFmtId="0" fontId="12" fillId="37" borderId="0"/>
    <xf numFmtId="0" fontId="12" fillId="37" borderId="0"/>
    <xf numFmtId="0" fontId="12" fillId="37" borderId="0"/>
    <xf numFmtId="0" fontId="12" fillId="37" borderId="0"/>
    <xf numFmtId="0" fontId="12" fillId="37" borderId="0"/>
    <xf numFmtId="0" fontId="12" fillId="37" borderId="0"/>
    <xf numFmtId="0" fontId="12" fillId="42" borderId="0"/>
    <xf numFmtId="0" fontId="12" fillId="42" borderId="0"/>
    <xf numFmtId="0" fontId="12" fillId="42" borderId="0"/>
    <xf numFmtId="0" fontId="12" fillId="42" borderId="0"/>
    <xf numFmtId="0" fontId="12" fillId="42" borderId="0"/>
    <xf numFmtId="0" fontId="12" fillId="42" borderId="0"/>
    <xf numFmtId="0" fontId="12" fillId="42" borderId="0"/>
    <xf numFmtId="0" fontId="12" fillId="42" borderId="0"/>
    <xf numFmtId="0" fontId="12" fillId="42" borderId="0"/>
    <xf numFmtId="0" fontId="12" fillId="42" borderId="0"/>
    <xf numFmtId="0" fontId="12" fillId="42" borderId="0"/>
    <xf numFmtId="0" fontId="12" fillId="42" borderId="0"/>
    <xf numFmtId="0" fontId="12" fillId="42" borderId="0"/>
    <xf numFmtId="0" fontId="12" fillId="42" borderId="0"/>
    <xf numFmtId="0" fontId="12" fillId="42" borderId="0"/>
    <xf numFmtId="0" fontId="12" fillId="42" borderId="0"/>
    <xf numFmtId="0" fontId="12" fillId="42" borderId="0"/>
    <xf numFmtId="0" fontId="12" fillId="42" borderId="0"/>
    <xf numFmtId="0" fontId="12" fillId="42" borderId="0"/>
    <xf numFmtId="0" fontId="12" fillId="41" borderId="0"/>
    <xf numFmtId="0" fontId="12" fillId="41" borderId="0"/>
    <xf numFmtId="0" fontId="12" fillId="41" borderId="0"/>
    <xf numFmtId="0" fontId="12" fillId="41" borderId="0"/>
    <xf numFmtId="0" fontId="12" fillId="41" borderId="0"/>
    <xf numFmtId="0" fontId="12" fillId="41" borderId="0"/>
    <xf numFmtId="0" fontId="12" fillId="41" borderId="0"/>
    <xf numFmtId="0" fontId="12" fillId="41" borderId="0"/>
    <xf numFmtId="0" fontId="12" fillId="41" borderId="0"/>
    <xf numFmtId="0" fontId="12" fillId="41" borderId="0"/>
    <xf numFmtId="0" fontId="12" fillId="41" borderId="0"/>
    <xf numFmtId="0" fontId="12" fillId="41" borderId="0"/>
    <xf numFmtId="0" fontId="12" fillId="41" borderId="0"/>
    <xf numFmtId="0" fontId="12" fillId="41" borderId="0"/>
    <xf numFmtId="0" fontId="12" fillId="41" borderId="0"/>
    <xf numFmtId="0" fontId="12" fillId="41" borderId="0"/>
    <xf numFmtId="0" fontId="12" fillId="41" borderId="0"/>
    <xf numFmtId="0" fontId="12" fillId="41" borderId="0"/>
    <xf numFmtId="0" fontId="12" fillId="41" borderId="0"/>
    <xf numFmtId="0" fontId="12" fillId="38" borderId="0"/>
    <xf numFmtId="0" fontId="12" fillId="38" borderId="0"/>
    <xf numFmtId="0" fontId="12" fillId="38" borderId="0"/>
    <xf numFmtId="0" fontId="12" fillId="38" borderId="0"/>
    <xf numFmtId="0" fontId="12" fillId="38" borderId="0"/>
    <xf numFmtId="0" fontId="12" fillId="38" borderId="0"/>
    <xf numFmtId="0" fontId="12" fillId="38" borderId="0"/>
    <xf numFmtId="0" fontId="12" fillId="38" borderId="0"/>
    <xf numFmtId="0" fontId="12" fillId="38" borderId="0"/>
    <xf numFmtId="0" fontId="12" fillId="38" borderId="0"/>
    <xf numFmtId="0" fontId="12" fillId="38" borderId="0"/>
    <xf numFmtId="0" fontId="12" fillId="38" borderId="0"/>
    <xf numFmtId="0" fontId="12" fillId="38" borderId="0"/>
    <xf numFmtId="0" fontId="12" fillId="38" borderId="0"/>
    <xf numFmtId="0" fontId="12" fillId="38" borderId="0"/>
    <xf numFmtId="0" fontId="12" fillId="38" borderId="0"/>
    <xf numFmtId="0" fontId="12" fillId="38" borderId="0"/>
    <xf numFmtId="0" fontId="12" fillId="38" borderId="0"/>
    <xf numFmtId="0" fontId="12" fillId="38" borderId="0"/>
    <xf numFmtId="0" fontId="12" fillId="37" borderId="0"/>
    <xf numFmtId="0" fontId="12" fillId="37" borderId="0"/>
    <xf numFmtId="0" fontId="12" fillId="37" borderId="0"/>
    <xf numFmtId="0" fontId="12" fillId="37" borderId="0"/>
    <xf numFmtId="0" fontId="12" fillId="37" borderId="0"/>
    <xf numFmtId="0" fontId="12" fillId="37" borderId="0"/>
    <xf numFmtId="0" fontId="12" fillId="37" borderId="0"/>
    <xf numFmtId="0" fontId="12" fillId="37" borderId="0"/>
    <xf numFmtId="0" fontId="12" fillId="37" borderId="0"/>
    <xf numFmtId="0" fontId="12" fillId="37" borderId="0"/>
    <xf numFmtId="0" fontId="12" fillId="37" borderId="0"/>
    <xf numFmtId="0" fontId="12" fillId="37" borderId="0"/>
    <xf numFmtId="0" fontId="12" fillId="37" borderId="0"/>
    <xf numFmtId="0" fontId="12" fillId="37" borderId="0"/>
    <xf numFmtId="0" fontId="12" fillId="37" borderId="0"/>
    <xf numFmtId="0" fontId="12" fillId="37" borderId="0"/>
    <xf numFmtId="0" fontId="12" fillId="37" borderId="0"/>
    <xf numFmtId="0" fontId="12" fillId="37" borderId="0"/>
    <xf numFmtId="0" fontId="12" fillId="37" borderId="0"/>
    <xf numFmtId="0" fontId="12" fillId="34" borderId="0"/>
    <xf numFmtId="0" fontId="12" fillId="34" borderId="0"/>
    <xf numFmtId="0" fontId="12" fillId="34" borderId="0"/>
    <xf numFmtId="0" fontId="12" fillId="34" borderId="0"/>
    <xf numFmtId="0" fontId="12" fillId="34" borderId="0"/>
    <xf numFmtId="0" fontId="12" fillId="34" borderId="0"/>
    <xf numFmtId="0" fontId="12" fillId="34" borderId="0"/>
    <xf numFmtId="0" fontId="12" fillId="34" borderId="0"/>
    <xf numFmtId="0" fontId="12" fillId="34" borderId="0"/>
    <xf numFmtId="0" fontId="12" fillId="34" borderId="0"/>
    <xf numFmtId="0" fontId="12" fillId="34" borderId="0"/>
    <xf numFmtId="0" fontId="12" fillId="34" borderId="0"/>
    <xf numFmtId="0" fontId="12" fillId="34" borderId="0"/>
    <xf numFmtId="0" fontId="12" fillId="34" borderId="0"/>
    <xf numFmtId="0" fontId="12" fillId="34" borderId="0"/>
    <xf numFmtId="0" fontId="12" fillId="34" borderId="0"/>
    <xf numFmtId="0" fontId="12" fillId="34" borderId="0"/>
    <xf numFmtId="0" fontId="12" fillId="34" borderId="0"/>
    <xf numFmtId="0" fontId="12" fillId="34" borderId="0"/>
    <xf numFmtId="0" fontId="12" fillId="37" borderId="0" applyAlignment="1">
      <alignment vertical="center"/>
    </xf>
    <xf numFmtId="0" fontId="12" fillId="37" borderId="0" applyAlignment="1">
      <alignment vertical="center"/>
    </xf>
    <xf numFmtId="0" fontId="12" fillId="37" borderId="0"/>
    <xf numFmtId="0" fontId="12" fillId="37" borderId="0"/>
    <xf numFmtId="0" fontId="12" fillId="42" borderId="0" applyAlignment="1">
      <alignment vertical="center"/>
    </xf>
    <xf numFmtId="0" fontId="12" fillId="42" borderId="0" applyAlignment="1">
      <alignment vertical="center"/>
    </xf>
    <xf numFmtId="0" fontId="12" fillId="42" borderId="0"/>
    <xf numFmtId="0" fontId="12" fillId="42" borderId="0"/>
    <xf numFmtId="0" fontId="12" fillId="41" borderId="0" applyAlignment="1">
      <alignment vertical="center"/>
    </xf>
    <xf numFmtId="0" fontId="12" fillId="41" borderId="0" applyAlignment="1">
      <alignment vertical="center"/>
    </xf>
    <xf numFmtId="0" fontId="12" fillId="41" borderId="0"/>
    <xf numFmtId="0" fontId="12" fillId="41" borderId="0"/>
    <xf numFmtId="0" fontId="12" fillId="38" borderId="0" applyAlignment="1">
      <alignment vertical="center"/>
    </xf>
    <xf numFmtId="0" fontId="12" fillId="38" borderId="0" applyAlignment="1">
      <alignment vertical="center"/>
    </xf>
    <xf numFmtId="0" fontId="12" fillId="38" borderId="0"/>
    <xf numFmtId="0" fontId="12" fillId="38" borderId="0"/>
    <xf numFmtId="0" fontId="12" fillId="37" borderId="0" applyAlignment="1">
      <alignment vertical="center"/>
    </xf>
    <xf numFmtId="0" fontId="12" fillId="37" borderId="0" applyAlignment="1">
      <alignment vertical="center"/>
    </xf>
    <xf numFmtId="0" fontId="12" fillId="37" borderId="0"/>
    <xf numFmtId="0" fontId="12" fillId="37" borderId="0"/>
    <xf numFmtId="0" fontId="12" fillId="34" borderId="0" applyAlignment="1">
      <alignment vertical="center"/>
    </xf>
    <xf numFmtId="0" fontId="12" fillId="34" borderId="0" applyAlignment="1">
      <alignment vertical="center"/>
    </xf>
    <xf numFmtId="0" fontId="12" fillId="34" borderId="0"/>
    <xf numFmtId="0" fontId="12" fillId="34" borderId="0"/>
    <xf numFmtId="0" fontId="12" fillId="43" borderId="0"/>
    <xf numFmtId="0" fontId="12" fillId="43" borderId="0"/>
    <xf numFmtId="0" fontId="12" fillId="43" borderId="0"/>
    <xf numFmtId="0" fontId="12" fillId="43" borderId="0"/>
    <xf numFmtId="0" fontId="12" fillId="43" borderId="0"/>
    <xf numFmtId="0" fontId="12" fillId="43" borderId="0"/>
    <xf numFmtId="0" fontId="12" fillId="43" borderId="0"/>
    <xf numFmtId="0" fontId="12" fillId="43" borderId="0"/>
    <xf numFmtId="0" fontId="12" fillId="43" borderId="0"/>
    <xf numFmtId="0" fontId="12" fillId="43" borderId="0"/>
    <xf numFmtId="0" fontId="12" fillId="43" borderId="0"/>
    <xf numFmtId="0" fontId="12" fillId="43" borderId="0"/>
    <xf numFmtId="0" fontId="12" fillId="43" borderId="0"/>
    <xf numFmtId="0" fontId="12" fillId="43" borderId="0"/>
    <xf numFmtId="0" fontId="12" fillId="43" borderId="0"/>
    <xf numFmtId="0" fontId="12" fillId="43" borderId="0"/>
    <xf numFmtId="0" fontId="12" fillId="43" borderId="0"/>
    <xf numFmtId="0" fontId="12" fillId="43" borderId="0"/>
    <xf numFmtId="0" fontId="12" fillId="43" borderId="0"/>
    <xf numFmtId="0" fontId="12" fillId="42" borderId="0"/>
    <xf numFmtId="0" fontId="12" fillId="42" borderId="0"/>
    <xf numFmtId="0" fontId="12" fillId="42" borderId="0"/>
    <xf numFmtId="0" fontId="12" fillId="42" borderId="0"/>
    <xf numFmtId="0" fontId="12" fillId="42" borderId="0"/>
    <xf numFmtId="0" fontId="12" fillId="42" borderId="0"/>
    <xf numFmtId="0" fontId="12" fillId="42" borderId="0"/>
    <xf numFmtId="0" fontId="12" fillId="42" borderId="0"/>
    <xf numFmtId="0" fontId="12" fillId="42" borderId="0"/>
    <xf numFmtId="0" fontId="12" fillId="42" borderId="0"/>
    <xf numFmtId="0" fontId="12" fillId="42" borderId="0"/>
    <xf numFmtId="0" fontId="12" fillId="42" borderId="0"/>
    <xf numFmtId="0" fontId="12" fillId="42" borderId="0"/>
    <xf numFmtId="0" fontId="12" fillId="42" borderId="0"/>
    <xf numFmtId="0" fontId="12" fillId="42" borderId="0"/>
    <xf numFmtId="0" fontId="12" fillId="42" borderId="0"/>
    <xf numFmtId="0" fontId="12" fillId="42" borderId="0"/>
    <xf numFmtId="0" fontId="12" fillId="42" borderId="0"/>
    <xf numFmtId="0" fontId="12" fillId="42" borderId="0"/>
    <xf numFmtId="0" fontId="12" fillId="41" borderId="0"/>
    <xf numFmtId="0" fontId="12" fillId="41" borderId="0"/>
    <xf numFmtId="0" fontId="12" fillId="41" borderId="0"/>
    <xf numFmtId="0" fontId="12" fillId="41" borderId="0"/>
    <xf numFmtId="0" fontId="12" fillId="41" borderId="0"/>
    <xf numFmtId="0" fontId="12" fillId="41" borderId="0"/>
    <xf numFmtId="0" fontId="12" fillId="41" borderId="0"/>
    <xf numFmtId="0" fontId="12" fillId="41" borderId="0"/>
    <xf numFmtId="0" fontId="12" fillId="41" borderId="0"/>
    <xf numFmtId="0" fontId="12" fillId="41" borderId="0"/>
    <xf numFmtId="0" fontId="12" fillId="41" borderId="0"/>
    <xf numFmtId="0" fontId="12" fillId="41" borderId="0"/>
    <xf numFmtId="0" fontId="12" fillId="41" borderId="0"/>
    <xf numFmtId="0" fontId="12" fillId="41" borderId="0"/>
    <xf numFmtId="0" fontId="12" fillId="41" borderId="0"/>
    <xf numFmtId="0" fontId="12" fillId="41" borderId="0"/>
    <xf numFmtId="0" fontId="12" fillId="41" borderId="0"/>
    <xf numFmtId="0" fontId="12" fillId="41" borderId="0"/>
    <xf numFmtId="0" fontId="12" fillId="41" borderId="0"/>
    <xf numFmtId="0" fontId="12" fillId="44" borderId="0"/>
    <xf numFmtId="0" fontId="12" fillId="44" borderId="0"/>
    <xf numFmtId="0" fontId="12" fillId="44" borderId="0"/>
    <xf numFmtId="0" fontId="12" fillId="44" borderId="0"/>
    <xf numFmtId="0" fontId="12" fillId="44" borderId="0"/>
    <xf numFmtId="0" fontId="12" fillId="44" borderId="0"/>
    <xf numFmtId="0" fontId="12" fillId="44" borderId="0"/>
    <xf numFmtId="0" fontId="12" fillId="44" borderId="0"/>
    <xf numFmtId="0" fontId="12" fillId="44" borderId="0"/>
    <xf numFmtId="0" fontId="12" fillId="44" borderId="0"/>
    <xf numFmtId="0" fontId="12" fillId="44" borderId="0"/>
    <xf numFmtId="0" fontId="12" fillId="44" borderId="0"/>
    <xf numFmtId="0" fontId="12" fillId="44" borderId="0"/>
    <xf numFmtId="0" fontId="12" fillId="44" borderId="0"/>
    <xf numFmtId="0" fontId="12" fillId="44" borderId="0"/>
    <xf numFmtId="0" fontId="12" fillId="44" borderId="0"/>
    <xf numFmtId="0" fontId="12" fillId="44" borderId="0"/>
    <xf numFmtId="0" fontId="12" fillId="44" borderId="0"/>
    <xf numFmtId="0" fontId="12" fillId="44" borderId="0"/>
    <xf numFmtId="0" fontId="12" fillId="25" borderId="0"/>
    <xf numFmtId="0" fontId="12" fillId="25" borderId="0"/>
    <xf numFmtId="0" fontId="12" fillId="25" borderId="0"/>
    <xf numFmtId="0" fontId="12" fillId="25" borderId="0"/>
    <xf numFmtId="0" fontId="12" fillId="25" borderId="0"/>
    <xf numFmtId="0" fontId="12" fillId="25" borderId="0"/>
    <xf numFmtId="0" fontId="12" fillId="25" borderId="0"/>
    <xf numFmtId="0" fontId="12" fillId="25" borderId="0"/>
    <xf numFmtId="0" fontId="12" fillId="25" borderId="0"/>
    <xf numFmtId="0" fontId="12" fillId="25" borderId="0"/>
    <xf numFmtId="0" fontId="12" fillId="45" borderId="0"/>
    <xf numFmtId="0" fontId="12" fillId="45" borderId="0"/>
    <xf numFmtId="0" fontId="12" fillId="45" borderId="0"/>
    <xf numFmtId="0" fontId="12" fillId="45" borderId="0"/>
    <xf numFmtId="0" fontId="12" fillId="45" borderId="0"/>
    <xf numFmtId="0" fontId="12" fillId="45" borderId="0"/>
    <xf numFmtId="0" fontId="12" fillId="45" borderId="0"/>
    <xf numFmtId="0" fontId="12" fillId="45" borderId="0"/>
    <xf numFmtId="0" fontId="12" fillId="45" borderId="0"/>
    <xf numFmtId="0" fontId="12" fillId="45" borderId="0"/>
    <xf numFmtId="0" fontId="12" fillId="45" borderId="0"/>
    <xf numFmtId="0" fontId="12" fillId="45" borderId="0"/>
    <xf numFmtId="0" fontId="12" fillId="45" borderId="0"/>
    <xf numFmtId="0" fontId="12" fillId="45" borderId="0"/>
    <xf numFmtId="0" fontId="12" fillId="45" borderId="0"/>
    <xf numFmtId="0" fontId="12" fillId="45" borderId="0"/>
    <xf numFmtId="0" fontId="12" fillId="45" borderId="0"/>
    <xf numFmtId="0" fontId="12" fillId="45" borderId="0"/>
    <xf numFmtId="0" fontId="12" fillId="45" borderId="0"/>
    <xf numFmtId="0" fontId="15" fillId="39" borderId="0"/>
    <xf numFmtId="0" fontId="15" fillId="39" borderId="0"/>
    <xf numFmtId="0" fontId="15" fillId="39" borderId="0"/>
    <xf numFmtId="0" fontId="15" fillId="39" borderId="0"/>
    <xf numFmtId="0" fontId="15" fillId="39" borderId="0"/>
    <xf numFmtId="0" fontId="15" fillId="39" borderId="0"/>
    <xf numFmtId="0" fontId="15" fillId="39" borderId="0"/>
    <xf numFmtId="0" fontId="15" fillId="39" borderId="0"/>
    <xf numFmtId="0" fontId="15" fillId="39" borderId="0"/>
    <xf numFmtId="0" fontId="15" fillId="39" borderId="0"/>
    <xf numFmtId="0" fontId="15" fillId="39" borderId="0"/>
    <xf numFmtId="0" fontId="15" fillId="39" borderId="0"/>
    <xf numFmtId="0" fontId="15" fillId="39" borderId="0"/>
    <xf numFmtId="0" fontId="15" fillId="39" borderId="0"/>
    <xf numFmtId="0" fontId="15" fillId="39" borderId="0"/>
    <xf numFmtId="0" fontId="15" fillId="39" borderId="0"/>
    <xf numFmtId="0" fontId="15" fillId="39" borderId="0"/>
    <xf numFmtId="0" fontId="15" fillId="39" borderId="0"/>
    <xf numFmtId="0" fontId="15" fillId="39" borderId="0"/>
    <xf numFmtId="0" fontId="33" fillId="46" borderId="14"/>
    <xf numFmtId="0" fontId="33" fillId="46" borderId="14"/>
    <xf numFmtId="0" fontId="33" fillId="46" borderId="14"/>
    <xf numFmtId="0" fontId="33" fillId="46" borderId="14"/>
    <xf numFmtId="0" fontId="33" fillId="46" borderId="14"/>
    <xf numFmtId="0" fontId="33" fillId="46" borderId="14"/>
    <xf numFmtId="0" fontId="33" fillId="46" borderId="14"/>
    <xf numFmtId="0" fontId="33" fillId="46" borderId="14"/>
    <xf numFmtId="0" fontId="33" fillId="46" borderId="14"/>
    <xf numFmtId="0" fontId="33" fillId="46" borderId="14"/>
    <xf numFmtId="0" fontId="33" fillId="46" borderId="14"/>
    <xf numFmtId="0" fontId="33" fillId="46" borderId="14"/>
    <xf numFmtId="0" fontId="33" fillId="46" borderId="14"/>
    <xf numFmtId="0" fontId="33" fillId="46" borderId="14"/>
    <xf numFmtId="0" fontId="33" fillId="46" borderId="14"/>
    <xf numFmtId="0" fontId="33" fillId="46" borderId="14"/>
    <xf numFmtId="0" fontId="33" fillId="46" borderId="14"/>
    <xf numFmtId="0" fontId="33" fillId="46" borderId="14"/>
    <xf numFmtId="0" fontId="33" fillId="46" borderId="14"/>
    <xf numFmtId="0" fontId="18" fillId="30" borderId="15"/>
    <xf numFmtId="0" fontId="18" fillId="30" borderId="15"/>
    <xf numFmtId="0" fontId="18" fillId="30" borderId="15"/>
    <xf numFmtId="0" fontId="18" fillId="30" borderId="15"/>
    <xf numFmtId="0" fontId="18" fillId="30" borderId="15"/>
    <xf numFmtId="0" fontId="18" fillId="30" borderId="15"/>
    <xf numFmtId="0" fontId="18" fillId="30" borderId="15"/>
    <xf numFmtId="0" fontId="18" fillId="30" borderId="15"/>
    <xf numFmtId="0" fontId="18" fillId="30" borderId="15"/>
    <xf numFmtId="0" fontId="18" fillId="30" borderId="15"/>
    <xf numFmtId="43" fontId="6" fillId="0" borderId="0" applyAlignment="1">
      <alignment vertical="center"/>
    </xf>
    <xf numFmtId="43" fontId="6" fillId="0" borderId="0" applyAlignment="1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6" fillId="37" borderId="0"/>
    <xf numFmtId="0" fontId="26" fillId="37" borderId="0"/>
    <xf numFmtId="0" fontId="26" fillId="37" borderId="0"/>
    <xf numFmtId="0" fontId="26" fillId="37" borderId="0"/>
    <xf numFmtId="0" fontId="26" fillId="37" borderId="0"/>
    <xf numFmtId="0" fontId="26" fillId="37" borderId="0"/>
    <xf numFmtId="0" fontId="26" fillId="37" borderId="0"/>
    <xf numFmtId="0" fontId="26" fillId="37" borderId="0"/>
    <xf numFmtId="0" fontId="26" fillId="37" borderId="0"/>
    <xf numFmtId="0" fontId="26" fillId="37" borderId="0"/>
    <xf numFmtId="0" fontId="26" fillId="37" borderId="0"/>
    <xf numFmtId="0" fontId="26" fillId="37" borderId="0"/>
    <xf numFmtId="0" fontId="26" fillId="37" borderId="0"/>
    <xf numFmtId="0" fontId="26" fillId="37" borderId="0"/>
    <xf numFmtId="0" fontId="26" fillId="37" borderId="0"/>
    <xf numFmtId="0" fontId="26" fillId="37" borderId="0"/>
    <xf numFmtId="0" fontId="26" fillId="37" borderId="0"/>
    <xf numFmtId="0" fontId="26" fillId="37" borderId="0"/>
    <xf numFmtId="0" fontId="26" fillId="37" borderId="0"/>
    <xf numFmtId="0" fontId="28" fillId="0" borderId="22"/>
    <xf numFmtId="0" fontId="28" fillId="0" borderId="22"/>
    <xf numFmtId="0" fontId="28" fillId="0" borderId="22"/>
    <xf numFmtId="0" fontId="28" fillId="0" borderId="22"/>
    <xf numFmtId="0" fontId="28" fillId="0" borderId="22"/>
    <xf numFmtId="0" fontId="28" fillId="0" borderId="22"/>
    <xf numFmtId="0" fontId="28" fillId="0" borderId="22"/>
    <xf numFmtId="0" fontId="28" fillId="0" borderId="22"/>
    <xf numFmtId="0" fontId="28" fillId="0" borderId="22"/>
    <xf numFmtId="0" fontId="28" fillId="0" borderId="22"/>
    <xf numFmtId="0" fontId="28" fillId="0" borderId="22"/>
    <xf numFmtId="0" fontId="28" fillId="0" borderId="22"/>
    <xf numFmtId="0" fontId="28" fillId="0" borderId="22"/>
    <xf numFmtId="0" fontId="34" fillId="0" borderId="22"/>
    <xf numFmtId="0" fontId="28" fillId="0" borderId="22"/>
    <xf numFmtId="0" fontId="28" fillId="0" borderId="22"/>
    <xf numFmtId="0" fontId="28" fillId="0" borderId="22"/>
    <xf numFmtId="0" fontId="34" fillId="0" borderId="22"/>
    <xf numFmtId="0" fontId="28" fillId="0" borderId="22"/>
    <xf numFmtId="0" fontId="28" fillId="0" borderId="22"/>
    <xf numFmtId="0" fontId="28" fillId="0" borderId="22"/>
    <xf numFmtId="0" fontId="28" fillId="0" borderId="22"/>
    <xf numFmtId="0" fontId="28" fillId="0" borderId="22"/>
    <xf numFmtId="0" fontId="28" fillId="0" borderId="22"/>
    <xf numFmtId="0" fontId="28" fillId="0" borderId="22"/>
    <xf numFmtId="0" fontId="28" fillId="0" borderId="22"/>
    <xf numFmtId="0" fontId="28" fillId="0" borderId="22"/>
    <xf numFmtId="0" fontId="28" fillId="0" borderId="22"/>
    <xf numFmtId="0" fontId="28" fillId="0" borderId="22"/>
    <xf numFmtId="0" fontId="28" fillId="0" borderId="22"/>
    <xf numFmtId="0" fontId="34" fillId="0" borderId="22"/>
    <xf numFmtId="0" fontId="28" fillId="0" borderId="22"/>
    <xf numFmtId="0" fontId="28" fillId="0" borderId="22"/>
    <xf numFmtId="0" fontId="28" fillId="0" borderId="22"/>
    <xf numFmtId="0" fontId="34" fillId="0" borderId="22"/>
    <xf numFmtId="0" fontId="28" fillId="0" borderId="22"/>
    <xf numFmtId="0" fontId="28" fillId="0" borderId="22"/>
    <xf numFmtId="0" fontId="28" fillId="0" borderId="22"/>
    <xf numFmtId="0" fontId="28" fillId="0" borderId="22"/>
    <xf numFmtId="0" fontId="28" fillId="0" borderId="22"/>
    <xf numFmtId="0" fontId="28" fillId="0" borderId="22"/>
    <xf numFmtId="0" fontId="28" fillId="0" borderId="22"/>
    <xf numFmtId="0" fontId="28" fillId="0" borderId="22"/>
    <xf numFmtId="0" fontId="28" fillId="0" borderId="22"/>
    <xf numFmtId="0" fontId="28" fillId="0" borderId="22"/>
    <xf numFmtId="0" fontId="28" fillId="0" borderId="22"/>
    <xf numFmtId="0" fontId="28" fillId="0" borderId="22"/>
    <xf numFmtId="0" fontId="28" fillId="0" borderId="22"/>
    <xf numFmtId="0" fontId="28" fillId="0" borderId="22"/>
    <xf numFmtId="0" fontId="28" fillId="0" borderId="22"/>
    <xf numFmtId="0" fontId="28" fillId="0" borderId="22"/>
    <xf numFmtId="0" fontId="28" fillId="0" borderId="22"/>
    <xf numFmtId="0" fontId="28" fillId="0" borderId="22"/>
    <xf numFmtId="0" fontId="28" fillId="0" borderId="22"/>
    <xf numFmtId="0" fontId="28" fillId="0" borderId="22"/>
    <xf numFmtId="0" fontId="28" fillId="0" borderId="22"/>
    <xf numFmtId="0" fontId="28" fillId="0" borderId="22"/>
    <xf numFmtId="0" fontId="28" fillId="0" borderId="22"/>
    <xf numFmtId="0" fontId="28" fillId="0" borderId="22"/>
    <xf numFmtId="0" fontId="34" fillId="0" borderId="22"/>
    <xf numFmtId="0" fontId="28" fillId="0" borderId="22"/>
    <xf numFmtId="0" fontId="28" fillId="0" borderId="22"/>
    <xf numFmtId="0" fontId="34" fillId="0" borderId="22"/>
    <xf numFmtId="0" fontId="28" fillId="0" borderId="22"/>
    <xf numFmtId="0" fontId="34" fillId="0" borderId="22"/>
    <xf numFmtId="0" fontId="28" fillId="0" borderId="22"/>
    <xf numFmtId="0" fontId="34" fillId="0" borderId="22"/>
    <xf numFmtId="0" fontId="29" fillId="0" borderId="23"/>
    <xf numFmtId="0" fontId="29" fillId="0" borderId="23"/>
    <xf numFmtId="0" fontId="29" fillId="0" borderId="23"/>
    <xf numFmtId="0" fontId="29" fillId="0" borderId="23"/>
    <xf numFmtId="0" fontId="29" fillId="0" borderId="23"/>
    <xf numFmtId="0" fontId="29" fillId="0" borderId="23"/>
    <xf numFmtId="0" fontId="29" fillId="0" borderId="23"/>
    <xf numFmtId="0" fontId="29" fillId="0" borderId="23"/>
    <xf numFmtId="0" fontId="29" fillId="0" borderId="23"/>
    <xf numFmtId="0" fontId="29" fillId="0" borderId="23"/>
    <xf numFmtId="0" fontId="29" fillId="0" borderId="23"/>
    <xf numFmtId="0" fontId="29" fillId="0" borderId="23"/>
    <xf numFmtId="0" fontId="29" fillId="0" borderId="23"/>
    <xf numFmtId="0" fontId="35" fillId="0" borderId="23"/>
    <xf numFmtId="0" fontId="29" fillId="0" borderId="23"/>
    <xf numFmtId="0" fontId="29" fillId="0" borderId="23"/>
    <xf numFmtId="0" fontId="29" fillId="0" borderId="23"/>
    <xf numFmtId="0" fontId="35" fillId="0" borderId="23"/>
    <xf numFmtId="0" fontId="29" fillId="0" borderId="23"/>
    <xf numFmtId="0" fontId="29" fillId="0" borderId="23"/>
    <xf numFmtId="0" fontId="29" fillId="0" borderId="23"/>
    <xf numFmtId="0" fontId="29" fillId="0" borderId="23"/>
    <xf numFmtId="0" fontId="29" fillId="0" borderId="23"/>
    <xf numFmtId="0" fontId="29" fillId="0" borderId="23"/>
    <xf numFmtId="0" fontId="29" fillId="0" borderId="23"/>
    <xf numFmtId="0" fontId="29" fillId="0" borderId="23"/>
    <xf numFmtId="0" fontId="29" fillId="0" borderId="23"/>
    <xf numFmtId="0" fontId="29" fillId="0" borderId="23"/>
    <xf numFmtId="0" fontId="29" fillId="0" borderId="23"/>
    <xf numFmtId="0" fontId="29" fillId="0" borderId="23"/>
    <xf numFmtId="0" fontId="35" fillId="0" borderId="23"/>
    <xf numFmtId="0" fontId="29" fillId="0" borderId="23"/>
    <xf numFmtId="0" fontId="29" fillId="0" borderId="23"/>
    <xf numFmtId="0" fontId="29" fillId="0" borderId="23"/>
    <xf numFmtId="0" fontId="35" fillId="0" borderId="23"/>
    <xf numFmtId="0" fontId="29" fillId="0" borderId="23"/>
    <xf numFmtId="0" fontId="29" fillId="0" borderId="23"/>
    <xf numFmtId="0" fontId="29" fillId="0" borderId="23"/>
    <xf numFmtId="0" fontId="29" fillId="0" borderId="23"/>
    <xf numFmtId="0" fontId="29" fillId="0" borderId="23"/>
    <xf numFmtId="0" fontId="29" fillId="0" borderId="23"/>
    <xf numFmtId="0" fontId="29" fillId="0" borderId="23"/>
    <xf numFmtId="0" fontId="29" fillId="0" borderId="23"/>
    <xf numFmtId="0" fontId="29" fillId="0" borderId="23"/>
    <xf numFmtId="0" fontId="29" fillId="0" borderId="23"/>
    <xf numFmtId="0" fontId="29" fillId="0" borderId="23"/>
    <xf numFmtId="0" fontId="29" fillId="0" borderId="23"/>
    <xf numFmtId="0" fontId="29" fillId="0" borderId="23"/>
    <xf numFmtId="0" fontId="29" fillId="0" borderId="23"/>
    <xf numFmtId="0" fontId="29" fillId="0" borderId="23"/>
    <xf numFmtId="0" fontId="29" fillId="0" borderId="23"/>
    <xf numFmtId="0" fontId="29" fillId="0" borderId="23"/>
    <xf numFmtId="0" fontId="29" fillId="0" borderId="23"/>
    <xf numFmtId="0" fontId="29" fillId="0" borderId="23"/>
    <xf numFmtId="0" fontId="29" fillId="0" borderId="23"/>
    <xf numFmtId="0" fontId="29" fillId="0" borderId="23"/>
    <xf numFmtId="0" fontId="29" fillId="0" borderId="23"/>
    <xf numFmtId="0" fontId="29" fillId="0" borderId="23"/>
    <xf numFmtId="0" fontId="29" fillId="0" borderId="23"/>
    <xf numFmtId="0" fontId="35" fillId="0" borderId="23"/>
    <xf numFmtId="0" fontId="29" fillId="0" borderId="23"/>
    <xf numFmtId="0" fontId="29" fillId="0" borderId="23"/>
    <xf numFmtId="0" fontId="35" fillId="0" borderId="23"/>
    <xf numFmtId="0" fontId="29" fillId="0" borderId="23"/>
    <xf numFmtId="0" fontId="35" fillId="0" borderId="23"/>
    <xf numFmtId="0" fontId="29" fillId="0" borderId="23"/>
    <xf numFmtId="0" fontId="35" fillId="0" borderId="23"/>
    <xf numFmtId="0" fontId="30" fillId="0" borderId="24"/>
    <xf numFmtId="0" fontId="30" fillId="0" borderId="24"/>
    <xf numFmtId="0" fontId="30" fillId="0" borderId="24"/>
    <xf numFmtId="0" fontId="30" fillId="0" borderId="24"/>
    <xf numFmtId="0" fontId="30" fillId="0" borderId="24"/>
    <xf numFmtId="0" fontId="30" fillId="0" borderId="24"/>
    <xf numFmtId="0" fontId="30" fillId="0" borderId="24"/>
    <xf numFmtId="0" fontId="30" fillId="0" borderId="24"/>
    <xf numFmtId="0" fontId="30" fillId="0" borderId="24"/>
    <xf numFmtId="0" fontId="30" fillId="0" borderId="24"/>
    <xf numFmtId="0" fontId="30" fillId="0" borderId="24"/>
    <xf numFmtId="0" fontId="30" fillId="0" borderId="24"/>
    <xf numFmtId="0" fontId="30" fillId="0" borderId="24"/>
    <xf numFmtId="0" fontId="36" fillId="0" borderId="24"/>
    <xf numFmtId="0" fontId="30" fillId="0" borderId="24"/>
    <xf numFmtId="0" fontId="30" fillId="0" borderId="24"/>
    <xf numFmtId="0" fontId="30" fillId="0" borderId="24"/>
    <xf numFmtId="0" fontId="36" fillId="0" borderId="24"/>
    <xf numFmtId="0" fontId="30" fillId="0" borderId="24"/>
    <xf numFmtId="0" fontId="30" fillId="0" borderId="24"/>
    <xf numFmtId="0" fontId="30" fillId="0" borderId="24"/>
    <xf numFmtId="0" fontId="30" fillId="0" borderId="24"/>
    <xf numFmtId="0" fontId="30" fillId="0" borderId="24"/>
    <xf numFmtId="0" fontId="30" fillId="0" borderId="24"/>
    <xf numFmtId="0" fontId="30" fillId="0" borderId="24"/>
    <xf numFmtId="0" fontId="30" fillId="0" borderId="24"/>
    <xf numFmtId="0" fontId="30" fillId="0" borderId="24"/>
    <xf numFmtId="0" fontId="30" fillId="0" borderId="24"/>
    <xf numFmtId="0" fontId="30" fillId="0" borderId="24"/>
    <xf numFmtId="0" fontId="30" fillId="0" borderId="24"/>
    <xf numFmtId="0" fontId="36" fillId="0" borderId="24"/>
    <xf numFmtId="0" fontId="30" fillId="0" borderId="24"/>
    <xf numFmtId="0" fontId="30" fillId="0" borderId="24"/>
    <xf numFmtId="0" fontId="30" fillId="0" borderId="24"/>
    <xf numFmtId="0" fontId="36" fillId="0" borderId="24"/>
    <xf numFmtId="0" fontId="30" fillId="0" borderId="24"/>
    <xf numFmtId="0" fontId="30" fillId="0" borderId="24"/>
    <xf numFmtId="0" fontId="30" fillId="0" borderId="24"/>
    <xf numFmtId="0" fontId="30" fillId="0" borderId="24"/>
    <xf numFmtId="0" fontId="30" fillId="0" borderId="24"/>
    <xf numFmtId="0" fontId="30" fillId="0" borderId="24"/>
    <xf numFmtId="0" fontId="30" fillId="0" borderId="24"/>
    <xf numFmtId="0" fontId="30" fillId="0" borderId="24"/>
    <xf numFmtId="0" fontId="30" fillId="0" borderId="24"/>
    <xf numFmtId="0" fontId="30" fillId="0" borderId="24"/>
    <xf numFmtId="0" fontId="30" fillId="0" borderId="24"/>
    <xf numFmtId="0" fontId="30" fillId="0" borderId="24"/>
    <xf numFmtId="0" fontId="30" fillId="0" borderId="24"/>
    <xf numFmtId="0" fontId="30" fillId="0" borderId="24"/>
    <xf numFmtId="0" fontId="30" fillId="0" borderId="24"/>
    <xf numFmtId="0" fontId="30" fillId="0" borderId="24"/>
    <xf numFmtId="0" fontId="30" fillId="0" borderId="24"/>
    <xf numFmtId="0" fontId="30" fillId="0" borderId="24"/>
    <xf numFmtId="0" fontId="30" fillId="0" borderId="24"/>
    <xf numFmtId="0" fontId="30" fillId="0" borderId="24"/>
    <xf numFmtId="0" fontId="30" fillId="0" borderId="24"/>
    <xf numFmtId="0" fontId="30" fillId="0" borderId="24"/>
    <xf numFmtId="0" fontId="30" fillId="0" borderId="24"/>
    <xf numFmtId="0" fontId="30" fillId="0" borderId="24"/>
    <xf numFmtId="0" fontId="36" fillId="0" borderId="24"/>
    <xf numFmtId="0" fontId="30" fillId="0" borderId="24"/>
    <xf numFmtId="0" fontId="30" fillId="0" borderId="24"/>
    <xf numFmtId="0" fontId="36" fillId="0" borderId="24"/>
    <xf numFmtId="0" fontId="30" fillId="0" borderId="24"/>
    <xf numFmtId="0" fontId="36" fillId="0" borderId="24"/>
    <xf numFmtId="0" fontId="30" fillId="0" borderId="24"/>
    <xf numFmtId="0" fontId="36" fillId="0" borderId="24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6" fillId="0" borderId="0"/>
    <xf numFmtId="0" fontId="30" fillId="0" borderId="0"/>
    <xf numFmtId="0" fontId="30" fillId="0" borderId="0"/>
    <xf numFmtId="0" fontId="30" fillId="0" borderId="0"/>
    <xf numFmtId="0" fontId="36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6" fillId="0" borderId="0"/>
    <xf numFmtId="0" fontId="30" fillId="0" borderId="0"/>
    <xf numFmtId="0" fontId="30" fillId="0" borderId="0"/>
    <xf numFmtId="0" fontId="30" fillId="0" borderId="0"/>
    <xf numFmtId="0" fontId="36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6" fillId="0" borderId="0"/>
    <xf numFmtId="0" fontId="30" fillId="0" borderId="0"/>
    <xf numFmtId="0" fontId="30" fillId="0" borderId="0"/>
    <xf numFmtId="0" fontId="36" fillId="0" borderId="0"/>
    <xf numFmtId="0" fontId="30" fillId="0" borderId="0"/>
    <xf numFmtId="0" fontId="36" fillId="0" borderId="0"/>
    <xf numFmtId="0" fontId="30" fillId="0" borderId="0"/>
    <xf numFmtId="0" fontId="36" fillId="0" borderId="0"/>
    <xf numFmtId="0" fontId="21" fillId="40" borderId="14"/>
    <xf numFmtId="0" fontId="21" fillId="40" borderId="14"/>
    <xf numFmtId="0" fontId="21" fillId="40" borderId="14"/>
    <xf numFmtId="0" fontId="21" fillId="40" borderId="14"/>
    <xf numFmtId="0" fontId="21" fillId="40" borderId="14"/>
    <xf numFmtId="0" fontId="21" fillId="40" borderId="14"/>
    <xf numFmtId="0" fontId="21" fillId="40" borderId="14"/>
    <xf numFmtId="0" fontId="21" fillId="40" borderId="14"/>
    <xf numFmtId="0" fontId="21" fillId="40" borderId="14"/>
    <xf numFmtId="0" fontId="21" fillId="40" borderId="14"/>
    <xf numFmtId="0" fontId="21" fillId="40" borderId="14"/>
    <xf numFmtId="0" fontId="21" fillId="40" borderId="14"/>
    <xf numFmtId="0" fontId="21" fillId="40" borderId="14"/>
    <xf numFmtId="0" fontId="21" fillId="40" borderId="14"/>
    <xf numFmtId="0" fontId="21" fillId="40" borderId="14"/>
    <xf numFmtId="0" fontId="21" fillId="40" borderId="14"/>
    <xf numFmtId="0" fontId="21" fillId="40" borderId="14"/>
    <xf numFmtId="0" fontId="21" fillId="40" borderId="14"/>
    <xf numFmtId="0" fontId="21" fillId="40" borderId="14"/>
    <xf numFmtId="0" fontId="31" fillId="0" borderId="25"/>
    <xf numFmtId="0" fontId="31" fillId="0" borderId="25"/>
    <xf numFmtId="0" fontId="31" fillId="0" borderId="25"/>
    <xf numFmtId="0" fontId="31" fillId="0" borderId="25"/>
    <xf numFmtId="0" fontId="31" fillId="0" borderId="25"/>
    <xf numFmtId="0" fontId="31" fillId="0" borderId="25"/>
    <xf numFmtId="0" fontId="31" fillId="0" borderId="25"/>
    <xf numFmtId="0" fontId="31" fillId="0" borderId="25"/>
    <xf numFmtId="0" fontId="31" fillId="0" borderId="25"/>
    <xf numFmtId="0" fontId="31" fillId="0" borderId="25"/>
    <xf numFmtId="0" fontId="31" fillId="0" borderId="25"/>
    <xf numFmtId="0" fontId="31" fillId="0" borderId="25"/>
    <xf numFmtId="0" fontId="31" fillId="0" borderId="25"/>
    <xf numFmtId="0" fontId="37" fillId="0" borderId="25"/>
    <xf numFmtId="0" fontId="31" fillId="0" borderId="25"/>
    <xf numFmtId="0" fontId="31" fillId="0" borderId="25"/>
    <xf numFmtId="0" fontId="31" fillId="0" borderId="25"/>
    <xf numFmtId="0" fontId="37" fillId="0" borderId="25"/>
    <xf numFmtId="0" fontId="31" fillId="0" borderId="25"/>
    <xf numFmtId="0" fontId="31" fillId="0" borderId="25"/>
    <xf numFmtId="0" fontId="31" fillId="0" borderId="25"/>
    <xf numFmtId="0" fontId="31" fillId="0" borderId="25"/>
    <xf numFmtId="0" fontId="31" fillId="0" borderId="25"/>
    <xf numFmtId="0" fontId="31" fillId="0" borderId="25"/>
    <xf numFmtId="0" fontId="31" fillId="0" borderId="25"/>
    <xf numFmtId="0" fontId="31" fillId="0" borderId="25"/>
    <xf numFmtId="0" fontId="31" fillId="0" borderId="25"/>
    <xf numFmtId="0" fontId="31" fillId="0" borderId="25"/>
    <xf numFmtId="0" fontId="31" fillId="0" borderId="25"/>
    <xf numFmtId="0" fontId="31" fillId="0" borderId="25"/>
    <xf numFmtId="0" fontId="37" fillId="0" borderId="25"/>
    <xf numFmtId="0" fontId="31" fillId="0" borderId="25"/>
    <xf numFmtId="0" fontId="31" fillId="0" borderId="25"/>
    <xf numFmtId="0" fontId="31" fillId="0" borderId="25"/>
    <xf numFmtId="0" fontId="37" fillId="0" borderId="25"/>
    <xf numFmtId="0" fontId="31" fillId="0" borderId="25"/>
    <xf numFmtId="0" fontId="31" fillId="0" borderId="25"/>
    <xf numFmtId="0" fontId="31" fillId="0" borderId="25"/>
    <xf numFmtId="0" fontId="31" fillId="0" borderId="25"/>
    <xf numFmtId="0" fontId="31" fillId="0" borderId="25"/>
    <xf numFmtId="0" fontId="31" fillId="0" borderId="25"/>
    <xf numFmtId="0" fontId="31" fillId="0" borderId="25"/>
    <xf numFmtId="0" fontId="31" fillId="0" borderId="25"/>
    <xf numFmtId="0" fontId="31" fillId="0" borderId="25"/>
    <xf numFmtId="0" fontId="31" fillId="0" borderId="25"/>
    <xf numFmtId="0" fontId="31" fillId="0" borderId="25"/>
    <xf numFmtId="0" fontId="31" fillId="0" borderId="25"/>
    <xf numFmtId="0" fontId="31" fillId="0" borderId="25"/>
    <xf numFmtId="0" fontId="31" fillId="0" borderId="25"/>
    <xf numFmtId="0" fontId="31" fillId="0" borderId="25"/>
    <xf numFmtId="0" fontId="31" fillId="0" borderId="25"/>
    <xf numFmtId="0" fontId="31" fillId="0" borderId="25"/>
    <xf numFmtId="0" fontId="31" fillId="0" borderId="25"/>
    <xf numFmtId="0" fontId="31" fillId="0" borderId="25"/>
    <xf numFmtId="0" fontId="31" fillId="0" borderId="25"/>
    <xf numFmtId="0" fontId="31" fillId="0" borderId="25"/>
    <xf numFmtId="0" fontId="31" fillId="0" borderId="25"/>
    <xf numFmtId="0" fontId="31" fillId="0" borderId="25"/>
    <xf numFmtId="0" fontId="31" fillId="0" borderId="25"/>
    <xf numFmtId="0" fontId="37" fillId="0" borderId="25"/>
    <xf numFmtId="0" fontId="31" fillId="0" borderId="25"/>
    <xf numFmtId="0" fontId="31" fillId="0" borderId="25"/>
    <xf numFmtId="0" fontId="37" fillId="0" borderId="25"/>
    <xf numFmtId="0" fontId="31" fillId="0" borderId="25"/>
    <xf numFmtId="0" fontId="37" fillId="0" borderId="25"/>
    <xf numFmtId="0" fontId="31" fillId="0" borderId="25"/>
    <xf numFmtId="0" fontId="37" fillId="0" borderId="25"/>
    <xf numFmtId="0" fontId="38" fillId="29" borderId="0"/>
    <xf numFmtId="0" fontId="38" fillId="29" borderId="0"/>
    <xf numFmtId="0" fontId="38" fillId="29" borderId="0"/>
    <xf numFmtId="0" fontId="38" fillId="29" borderId="0"/>
    <xf numFmtId="0" fontId="38" fillId="29" borderId="0"/>
    <xf numFmtId="0" fontId="38" fillId="29" borderId="0"/>
    <xf numFmtId="0" fontId="38" fillId="29" borderId="0"/>
    <xf numFmtId="0" fontId="38" fillId="29" borderId="0"/>
    <xf numFmtId="0" fontId="38" fillId="29" borderId="0"/>
    <xf numFmtId="0" fontId="38" fillId="29" borderId="0"/>
    <xf numFmtId="0" fontId="38" fillId="29" borderId="0"/>
    <xf numFmtId="0" fontId="38" fillId="29" borderId="0"/>
    <xf numFmtId="0" fontId="38" fillId="29" borderId="0"/>
    <xf numFmtId="0" fontId="38" fillId="29" borderId="0"/>
    <xf numFmtId="0" fontId="38" fillId="29" borderId="0"/>
    <xf numFmtId="0" fontId="38" fillId="29" borderId="0"/>
    <xf numFmtId="0" fontId="38" fillId="29" borderId="0"/>
    <xf numFmtId="0" fontId="38" fillId="29" borderId="0"/>
    <xf numFmtId="0" fontId="38" fillId="29" borderId="0"/>
    <xf numFmtId="0" fontId="11" fillId="0" borderId="0"/>
    <xf numFmtId="0" fontId="11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11" fillId="0" borderId="0"/>
    <xf numFmtId="0" fontId="11" fillId="0" borderId="0"/>
    <xf numFmtId="0" fontId="11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9" fillId="20" borderId="13"/>
    <xf numFmtId="0" fontId="9" fillId="20" borderId="13"/>
    <xf numFmtId="0" fontId="9" fillId="20" borderId="13"/>
    <xf numFmtId="0" fontId="9" fillId="20" borderId="13"/>
    <xf numFmtId="0" fontId="9" fillId="20" borderId="13"/>
    <xf numFmtId="0" fontId="9" fillId="20" borderId="13"/>
    <xf numFmtId="0" fontId="9" fillId="20" borderId="13"/>
    <xf numFmtId="0" fontId="9" fillId="20" borderId="13"/>
    <xf numFmtId="0" fontId="9" fillId="20" borderId="13"/>
    <xf numFmtId="0" fontId="9" fillId="20" borderId="13"/>
    <xf numFmtId="0" fontId="9" fillId="20" borderId="13"/>
    <xf numFmtId="0" fontId="9" fillId="20" borderId="13"/>
    <xf numFmtId="0" fontId="9" fillId="20" borderId="13"/>
    <xf numFmtId="0" fontId="9" fillId="20" borderId="13"/>
    <xf numFmtId="0" fontId="9" fillId="20" borderId="13"/>
    <xf numFmtId="0" fontId="9" fillId="20" borderId="13"/>
    <xf numFmtId="0" fontId="9" fillId="20" borderId="13"/>
    <xf numFmtId="0" fontId="9" fillId="20" borderId="13"/>
    <xf numFmtId="0" fontId="9" fillId="20" borderId="13"/>
    <xf numFmtId="0" fontId="9" fillId="20" borderId="13"/>
    <xf numFmtId="0" fontId="9" fillId="20" borderId="13"/>
    <xf numFmtId="0" fontId="9" fillId="20" borderId="13"/>
    <xf numFmtId="0" fontId="9" fillId="20" borderId="13"/>
    <xf numFmtId="0" fontId="9" fillId="20" borderId="13"/>
    <xf numFmtId="0" fontId="9" fillId="20" borderId="13"/>
    <xf numFmtId="0" fontId="9" fillId="20" borderId="13"/>
    <xf numFmtId="0" fontId="9" fillId="20" borderId="13"/>
    <xf numFmtId="0" fontId="9" fillId="20" borderId="13"/>
    <xf numFmtId="0" fontId="9" fillId="20" borderId="13"/>
    <xf numFmtId="0" fontId="9" fillId="20" borderId="13"/>
    <xf numFmtId="0" fontId="9" fillId="20" borderId="13"/>
    <xf numFmtId="0" fontId="9" fillId="20" borderId="13"/>
    <xf numFmtId="0" fontId="9" fillId="20" borderId="13"/>
    <xf numFmtId="0" fontId="9" fillId="20" borderId="13"/>
    <xf numFmtId="0" fontId="9" fillId="20" borderId="13"/>
    <xf numFmtId="0" fontId="9" fillId="20" borderId="13"/>
    <xf numFmtId="0" fontId="9" fillId="20" borderId="13"/>
    <xf numFmtId="0" fontId="9" fillId="20" borderId="13"/>
    <xf numFmtId="0" fontId="9" fillId="20" borderId="13"/>
    <xf numFmtId="0" fontId="9" fillId="20" borderId="13"/>
    <xf numFmtId="0" fontId="9" fillId="20" borderId="13"/>
    <xf numFmtId="0" fontId="9" fillId="20" borderId="13"/>
    <xf numFmtId="0" fontId="9" fillId="20" borderId="13"/>
    <xf numFmtId="0" fontId="9" fillId="20" borderId="13"/>
    <xf numFmtId="0" fontId="9" fillId="20" borderId="13"/>
    <xf numFmtId="0" fontId="9" fillId="20" borderId="13"/>
    <xf numFmtId="0" fontId="9" fillId="20" borderId="13"/>
    <xf numFmtId="0" fontId="9" fillId="20" borderId="13"/>
    <xf numFmtId="0" fontId="9" fillId="20" borderId="13"/>
    <xf numFmtId="0" fontId="9" fillId="20" borderId="13"/>
    <xf numFmtId="0" fontId="9" fillId="20" borderId="13"/>
    <xf numFmtId="0" fontId="9" fillId="20" borderId="13"/>
    <xf numFmtId="0" fontId="9" fillId="20" borderId="13"/>
    <xf numFmtId="0" fontId="9" fillId="20" borderId="13"/>
    <xf numFmtId="0" fontId="9" fillId="20" borderId="13"/>
    <xf numFmtId="0" fontId="9" fillId="20" borderId="13"/>
    <xf numFmtId="0" fontId="9" fillId="20" borderId="13"/>
    <xf numFmtId="0" fontId="9" fillId="20" borderId="13"/>
    <xf numFmtId="0" fontId="9" fillId="20" borderId="13"/>
    <xf numFmtId="0" fontId="9" fillId="20" borderId="13"/>
    <xf numFmtId="0" fontId="9" fillId="20" borderId="13"/>
    <xf numFmtId="0" fontId="9" fillId="20" borderId="13"/>
    <xf numFmtId="0" fontId="9" fillId="20" borderId="13"/>
    <xf numFmtId="0" fontId="9" fillId="20" borderId="13"/>
    <xf numFmtId="0" fontId="9" fillId="20" borderId="13"/>
    <xf numFmtId="0" fontId="9" fillId="20" borderId="13"/>
    <xf numFmtId="0" fontId="9" fillId="20" borderId="13"/>
    <xf numFmtId="0" fontId="9" fillId="20" borderId="13"/>
    <xf numFmtId="0" fontId="9" fillId="20" borderId="13"/>
    <xf numFmtId="0" fontId="9" fillId="20" borderId="13"/>
    <xf numFmtId="0" fontId="9" fillId="20" borderId="13"/>
    <xf numFmtId="0" fontId="9" fillId="20" borderId="13"/>
    <xf numFmtId="0" fontId="9" fillId="20" borderId="13"/>
    <xf numFmtId="0" fontId="9" fillId="20" borderId="13"/>
    <xf numFmtId="0" fontId="9" fillId="20" borderId="13"/>
    <xf numFmtId="0" fontId="9" fillId="20" borderId="13"/>
    <xf numFmtId="0" fontId="9" fillId="20" borderId="13"/>
    <xf numFmtId="0" fontId="9" fillId="20" borderId="13"/>
    <xf numFmtId="0" fontId="9" fillId="20" borderId="13"/>
    <xf numFmtId="0" fontId="9" fillId="20" borderId="13"/>
    <xf numFmtId="0" fontId="9" fillId="20" borderId="13"/>
    <xf numFmtId="0" fontId="9" fillId="20" borderId="13"/>
    <xf numFmtId="0" fontId="9" fillId="20" borderId="13"/>
    <xf numFmtId="0" fontId="9" fillId="20" borderId="13"/>
    <xf numFmtId="0" fontId="9" fillId="20" borderId="13"/>
    <xf numFmtId="0" fontId="27" fillId="46" borderId="21"/>
    <xf numFmtId="0" fontId="27" fillId="46" borderId="21"/>
    <xf numFmtId="0" fontId="27" fillId="46" borderId="21"/>
    <xf numFmtId="0" fontId="27" fillId="46" borderId="21"/>
    <xf numFmtId="0" fontId="27" fillId="46" borderId="21"/>
    <xf numFmtId="0" fontId="27" fillId="46" borderId="21"/>
    <xf numFmtId="0" fontId="27" fillId="46" borderId="21"/>
    <xf numFmtId="0" fontId="27" fillId="46" borderId="21"/>
    <xf numFmtId="0" fontId="27" fillId="46" borderId="21"/>
    <xf numFmtId="0" fontId="27" fillId="46" borderId="21"/>
    <xf numFmtId="0" fontId="27" fillId="46" borderId="21"/>
    <xf numFmtId="0" fontId="27" fillId="46" borderId="21"/>
    <xf numFmtId="0" fontId="27" fillId="46" borderId="21"/>
    <xf numFmtId="0" fontId="27" fillId="46" borderId="21"/>
    <xf numFmtId="0" fontId="27" fillId="46" borderId="21"/>
    <xf numFmtId="0" fontId="27" fillId="46" borderId="21"/>
    <xf numFmtId="0" fontId="27" fillId="46" borderId="21"/>
    <xf numFmtId="0" fontId="27" fillId="46" borderId="21"/>
    <xf numFmtId="0" fontId="27" fillId="46" borderId="21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9" fillId="0" borderId="0"/>
    <xf numFmtId="0" fontId="32" fillId="0" borderId="0"/>
    <xf numFmtId="0" fontId="32" fillId="0" borderId="0"/>
    <xf numFmtId="0" fontId="32" fillId="0" borderId="0"/>
    <xf numFmtId="0" fontId="3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9" fillId="0" borderId="0"/>
    <xf numFmtId="0" fontId="32" fillId="0" borderId="0"/>
    <xf numFmtId="0" fontId="32" fillId="0" borderId="0"/>
    <xf numFmtId="0" fontId="32" fillId="0" borderId="0"/>
    <xf numFmtId="0" fontId="3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9" fillId="0" borderId="0"/>
    <xf numFmtId="0" fontId="32" fillId="0" borderId="0"/>
    <xf numFmtId="0" fontId="32" fillId="0" borderId="0"/>
    <xf numFmtId="0" fontId="39" fillId="0" borderId="0"/>
    <xf numFmtId="0" fontId="32" fillId="0" borderId="0"/>
    <xf numFmtId="0" fontId="39" fillId="0" borderId="0"/>
    <xf numFmtId="0" fontId="32" fillId="0" borderId="0"/>
    <xf numFmtId="0" fontId="39" fillId="0" borderId="0"/>
    <xf numFmtId="0" fontId="20" fillId="0" borderId="26"/>
    <xf numFmtId="0" fontId="20" fillId="0" borderId="26"/>
    <xf numFmtId="0" fontId="20" fillId="0" borderId="26"/>
    <xf numFmtId="0" fontId="20" fillId="0" borderId="26"/>
    <xf numFmtId="0" fontId="20" fillId="0" borderId="26"/>
    <xf numFmtId="0" fontId="20" fillId="0" borderId="26"/>
    <xf numFmtId="0" fontId="20" fillId="0" borderId="26"/>
    <xf numFmtId="0" fontId="20" fillId="0" borderId="26"/>
    <xf numFmtId="0" fontId="20" fillId="0" borderId="26"/>
    <xf numFmtId="0" fontId="20" fillId="0" borderId="26"/>
    <xf numFmtId="0" fontId="20" fillId="0" borderId="26"/>
    <xf numFmtId="0" fontId="20" fillId="0" borderId="26"/>
    <xf numFmtId="0" fontId="20" fillId="0" borderId="26"/>
    <xf numFmtId="0" fontId="20" fillId="0" borderId="26"/>
    <xf numFmtId="0" fontId="20" fillId="0" borderId="26"/>
    <xf numFmtId="0" fontId="20" fillId="0" borderId="26"/>
    <xf numFmtId="0" fontId="20" fillId="0" borderId="26"/>
    <xf numFmtId="0" fontId="20" fillId="0" borderId="26"/>
    <xf numFmtId="0" fontId="20" fillId="0" borderId="26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43" borderId="0" applyAlignment="1">
      <alignment vertical="center"/>
    </xf>
    <xf numFmtId="0" fontId="12" fillId="43" borderId="0" applyAlignment="1">
      <alignment vertical="center"/>
    </xf>
    <xf numFmtId="0" fontId="12" fillId="43" borderId="0"/>
    <xf numFmtId="0" fontId="12" fillId="43" borderId="0"/>
    <xf numFmtId="0" fontId="12" fillId="42" borderId="0" applyAlignment="1">
      <alignment vertical="center"/>
    </xf>
    <xf numFmtId="0" fontId="12" fillId="42" borderId="0" applyAlignment="1">
      <alignment vertical="center"/>
    </xf>
    <xf numFmtId="0" fontId="12" fillId="42" borderId="0"/>
    <xf numFmtId="0" fontId="12" fillId="42" borderId="0"/>
    <xf numFmtId="0" fontId="12" fillId="41" borderId="0" applyAlignment="1">
      <alignment vertical="center"/>
    </xf>
    <xf numFmtId="0" fontId="12" fillId="41" borderId="0" applyAlignment="1">
      <alignment vertical="center"/>
    </xf>
    <xf numFmtId="0" fontId="12" fillId="41" borderId="0"/>
    <xf numFmtId="0" fontId="12" fillId="41" borderId="0"/>
    <xf numFmtId="0" fontId="12" fillId="44" borderId="0" applyAlignment="1">
      <alignment vertical="center"/>
    </xf>
    <xf numFmtId="0" fontId="12" fillId="44" borderId="0" applyAlignment="1">
      <alignment vertical="center"/>
    </xf>
    <xf numFmtId="0" fontId="12" fillId="44" borderId="0"/>
    <xf numFmtId="0" fontId="12" fillId="44" borderId="0"/>
    <xf numFmtId="0" fontId="12" fillId="25" borderId="0" applyAlignment="1">
      <alignment vertical="center"/>
    </xf>
    <xf numFmtId="0" fontId="12" fillId="25" borderId="0"/>
    <xf numFmtId="0" fontId="12" fillId="45" borderId="0" applyAlignment="1">
      <alignment vertical="center"/>
    </xf>
    <xf numFmtId="0" fontId="12" fillId="45" borderId="0" applyAlignment="1">
      <alignment vertical="center"/>
    </xf>
    <xf numFmtId="0" fontId="12" fillId="45" borderId="0"/>
    <xf numFmtId="0" fontId="12" fillId="45" borderId="0"/>
    <xf numFmtId="0" fontId="13" fillId="0" borderId="0" applyAlignment="1">
      <alignment vertical="center"/>
    </xf>
    <xf numFmtId="0" fontId="13" fillId="0" borderId="0"/>
    <xf numFmtId="0" fontId="33" fillId="46" borderId="14" applyAlignment="1">
      <alignment vertical="center"/>
    </xf>
    <xf numFmtId="0" fontId="33" fillId="46" borderId="14" applyAlignment="1">
      <alignment vertical="center"/>
    </xf>
    <xf numFmtId="0" fontId="33" fillId="46" borderId="14"/>
    <xf numFmtId="0" fontId="33" fillId="46" borderId="14"/>
    <xf numFmtId="0" fontId="15" fillId="39" borderId="0" applyAlignment="1">
      <alignment vertical="center"/>
    </xf>
    <xf numFmtId="0" fontId="15" fillId="39" borderId="0" applyAlignment="1">
      <alignment vertical="center"/>
    </xf>
    <xf numFmtId="0" fontId="15" fillId="39" borderId="0"/>
    <xf numFmtId="0" fontId="15" fillId="39" borderId="0"/>
    <xf numFmtId="0" fontId="9" fillId="20" borderId="13" applyAlignment="1">
      <alignment vertical="center"/>
    </xf>
    <xf numFmtId="0" fontId="9" fillId="20" borderId="13" applyAlignment="1">
      <alignment vertical="center"/>
    </xf>
    <xf numFmtId="0" fontId="9" fillId="20" borderId="13" applyAlignment="1">
      <alignment vertical="center"/>
    </xf>
    <xf numFmtId="0" fontId="9" fillId="20" borderId="13" applyAlignment="1">
      <alignment vertical="center"/>
    </xf>
    <xf numFmtId="0" fontId="9" fillId="20" borderId="13"/>
    <xf numFmtId="0" fontId="9" fillId="20" borderId="13"/>
    <xf numFmtId="0" fontId="9" fillId="20" borderId="13"/>
    <xf numFmtId="0" fontId="38" fillId="29" borderId="0" applyAlignment="1">
      <alignment vertical="center"/>
    </xf>
    <xf numFmtId="0" fontId="38" fillId="29" borderId="0" applyAlignment="1">
      <alignment vertical="center"/>
    </xf>
    <xf numFmtId="0" fontId="38" fillId="29" borderId="0"/>
    <xf numFmtId="0" fontId="38" fillId="29" borderId="0"/>
    <xf numFmtId="0" fontId="17" fillId="0" borderId="0" applyAlignment="1">
      <alignment vertical="center"/>
    </xf>
    <xf numFmtId="0" fontId="17" fillId="0" borderId="0"/>
    <xf numFmtId="0" fontId="18" fillId="30" borderId="15" applyAlignment="1">
      <alignment vertical="center"/>
    </xf>
    <xf numFmtId="0" fontId="18" fillId="30" borderId="15"/>
    <xf numFmtId="0" fontId="37" fillId="0" borderId="25" applyAlignment="1">
      <alignment vertical="center"/>
    </xf>
    <xf numFmtId="0" fontId="31" fillId="0" borderId="25" applyAlignment="1">
      <alignment vertical="center"/>
    </xf>
    <xf numFmtId="0" fontId="37" fillId="0" borderId="25"/>
    <xf numFmtId="0" fontId="31" fillId="0" borderId="25"/>
    <xf numFmtId="0" fontId="20" fillId="0" borderId="26" applyAlignment="1">
      <alignment vertical="center"/>
    </xf>
    <xf numFmtId="0" fontId="20" fillId="0" borderId="26" applyAlignment="1">
      <alignment vertical="center"/>
    </xf>
    <xf numFmtId="0" fontId="20" fillId="0" borderId="26"/>
    <xf numFmtId="0" fontId="20" fillId="0" borderId="26"/>
    <xf numFmtId="0" fontId="21" fillId="40" borderId="14" applyAlignment="1">
      <alignment vertical="center"/>
    </xf>
    <xf numFmtId="0" fontId="21" fillId="40" borderId="14" applyAlignment="1">
      <alignment vertical="center"/>
    </xf>
    <xf numFmtId="0" fontId="21" fillId="40" borderId="14"/>
    <xf numFmtId="0" fontId="21" fillId="40" borderId="14"/>
    <xf numFmtId="0" fontId="34" fillId="0" borderId="22" applyAlignment="1">
      <alignment vertical="center"/>
    </xf>
    <xf numFmtId="0" fontId="28" fillId="0" borderId="22" applyAlignment="1">
      <alignment vertical="center"/>
    </xf>
    <xf numFmtId="0" fontId="34" fillId="0" borderId="22"/>
    <xf numFmtId="0" fontId="28" fillId="0" borderId="22"/>
    <xf numFmtId="0" fontId="35" fillId="0" borderId="23" applyAlignment="1">
      <alignment vertical="center"/>
    </xf>
    <xf numFmtId="0" fontId="29" fillId="0" borderId="23" applyAlignment="1">
      <alignment vertical="center"/>
    </xf>
    <xf numFmtId="0" fontId="35" fillId="0" borderId="23"/>
    <xf numFmtId="0" fontId="29" fillId="0" borderId="23"/>
    <xf numFmtId="0" fontId="36" fillId="0" borderId="24" applyAlignment="1">
      <alignment vertical="center"/>
    </xf>
    <xf numFmtId="0" fontId="30" fillId="0" borderId="24" applyAlignment="1">
      <alignment vertical="center"/>
    </xf>
    <xf numFmtId="0" fontId="36" fillId="0" borderId="24"/>
    <xf numFmtId="0" fontId="30" fillId="0" borderId="24"/>
    <xf numFmtId="0" fontId="36" fillId="0" borderId="0" applyAlignment="1">
      <alignment vertical="center"/>
    </xf>
    <xf numFmtId="0" fontId="30" fillId="0" borderId="0" applyAlignment="1">
      <alignment vertical="center"/>
    </xf>
    <xf numFmtId="0" fontId="36" fillId="0" borderId="0"/>
    <xf numFmtId="0" fontId="30" fillId="0" borderId="0"/>
    <xf numFmtId="0" fontId="39" fillId="0" borderId="0" applyAlignment="1">
      <alignment vertical="center"/>
    </xf>
    <xf numFmtId="0" fontId="32" fillId="0" borderId="0" applyAlignment="1">
      <alignment vertical="center"/>
    </xf>
    <xf numFmtId="0" fontId="39" fillId="0" borderId="0"/>
    <xf numFmtId="0" fontId="32" fillId="0" borderId="0"/>
    <xf numFmtId="0" fontId="26" fillId="37" borderId="0" applyAlignment="1">
      <alignment vertical="center"/>
    </xf>
    <xf numFmtId="0" fontId="26" fillId="37" borderId="0" applyAlignment="1">
      <alignment vertical="center"/>
    </xf>
    <xf numFmtId="0" fontId="26" fillId="37" borderId="0"/>
    <xf numFmtId="0" fontId="26" fillId="37" borderId="0"/>
    <xf numFmtId="0" fontId="27" fillId="46" borderId="21" applyAlignment="1">
      <alignment vertical="center"/>
    </xf>
    <xf numFmtId="0" fontId="27" fillId="46" borderId="21" applyAlignment="1">
      <alignment vertical="center"/>
    </xf>
    <xf numFmtId="0" fontId="27" fillId="46" borderId="21"/>
    <xf numFmtId="0" fontId="27" fillId="46" borderId="21"/>
    <xf numFmtId="0" fontId="11" fillId="0" borderId="0"/>
    <xf numFmtId="0" fontId="7" fillId="0" borderId="0"/>
    <xf numFmtId="0" fontId="11" fillId="0" borderId="0"/>
    <xf numFmtId="0" fontId="7" fillId="0" borderId="0"/>
    <xf numFmtId="0" fontId="11" fillId="0" borderId="0" applyAlignment="1">
      <alignment vertical="center"/>
    </xf>
    <xf numFmtId="0" fontId="11" fillId="0" borderId="0" applyAlignment="1">
      <alignment vertical="center"/>
    </xf>
    <xf numFmtId="0" fontId="6" fillId="0" borderId="0" applyAlignment="1">
      <alignment vertical="center"/>
    </xf>
    <xf numFmtId="0" fontId="11" fillId="0" borderId="0" applyAlignment="1">
      <alignment vertical="center"/>
    </xf>
    <xf numFmtId="0" fontId="9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 applyAlignment="1">
      <alignment vertical="center"/>
    </xf>
    <xf numFmtId="0" fontId="6" fillId="0" borderId="0"/>
    <xf numFmtId="0" fontId="6" fillId="0" borderId="0"/>
    <xf numFmtId="0" fontId="11" fillId="0" borderId="0"/>
    <xf numFmtId="0" fontId="11" fillId="0" borderId="0" applyAlignment="1">
      <alignment vertical="center"/>
    </xf>
    <xf numFmtId="0" fontId="40" fillId="0" borderId="0"/>
    <xf numFmtId="0" fontId="40" fillId="0" borderId="0" applyAlignment="1">
      <alignment vertical="center"/>
    </xf>
    <xf numFmtId="0" fontId="6" fillId="0" borderId="0" applyAlignment="1">
      <alignment vertical="center"/>
    </xf>
    <xf numFmtId="0" fontId="11" fillId="0" borderId="0" applyAlignment="1">
      <alignment vertical="center"/>
    </xf>
    <xf numFmtId="0" fontId="11" fillId="0" borderId="0"/>
    <xf numFmtId="0" fontId="6" fillId="0" borderId="0" applyAlignment="1">
      <alignment vertical="center"/>
    </xf>
    <xf numFmtId="0" fontId="5" fillId="0" borderId="0"/>
    <xf numFmtId="0" fontId="6" fillId="0" borderId="0" applyAlignment="1">
      <alignment vertical="center"/>
    </xf>
    <xf numFmtId="0" fontId="11" fillId="0" borderId="0"/>
    <xf numFmtId="0" fontId="40" fillId="2" borderId="0"/>
    <xf numFmtId="0" fontId="11" fillId="2" borderId="0"/>
    <xf numFmtId="0" fontId="40" fillId="2" borderId="0"/>
    <xf numFmtId="0" fontId="11" fillId="2" borderId="0"/>
    <xf numFmtId="0" fontId="40" fillId="2" borderId="0"/>
    <xf numFmtId="0" fontId="40" fillId="2" borderId="0"/>
    <xf numFmtId="0" fontId="40" fillId="2" borderId="0"/>
    <xf numFmtId="0" fontId="11" fillId="2" borderId="0"/>
    <xf numFmtId="0" fontId="40" fillId="2" borderId="0"/>
    <xf numFmtId="0" fontId="40" fillId="2" borderId="0"/>
    <xf numFmtId="0" fontId="40" fillId="2" borderId="0"/>
    <xf numFmtId="0" fontId="11" fillId="2" borderId="0"/>
    <xf numFmtId="0" fontId="40" fillId="2" borderId="0"/>
    <xf numFmtId="0" fontId="11" fillId="2" borderId="0"/>
    <xf numFmtId="0" fontId="40" fillId="2" borderId="0"/>
    <xf numFmtId="0" fontId="40" fillId="2" borderId="0"/>
    <xf numFmtId="0" fontId="40" fillId="2" borderId="0"/>
    <xf numFmtId="0" fontId="11" fillId="2" borderId="0"/>
    <xf numFmtId="0" fontId="40" fillId="2" borderId="0"/>
    <xf numFmtId="0" fontId="40" fillId="2" borderId="0"/>
    <xf numFmtId="0" fontId="40" fillId="2" borderId="0"/>
    <xf numFmtId="0" fontId="11" fillId="2" borderId="0"/>
    <xf numFmtId="0" fontId="40" fillId="2" borderId="0"/>
    <xf numFmtId="0" fontId="11" fillId="2" borderId="0"/>
    <xf numFmtId="0" fontId="40" fillId="2" borderId="0"/>
    <xf numFmtId="0" fontId="40" fillId="2" borderId="0"/>
    <xf numFmtId="0" fontId="40" fillId="2" borderId="0"/>
    <xf numFmtId="0" fontId="11" fillId="2" borderId="0"/>
    <xf numFmtId="0" fontId="40" fillId="2" borderId="0"/>
    <xf numFmtId="0" fontId="40" fillId="2" borderId="0"/>
    <xf numFmtId="0" fontId="40" fillId="2" borderId="0"/>
    <xf numFmtId="0" fontId="11" fillId="2" borderId="0"/>
    <xf numFmtId="0" fontId="40" fillId="2" borderId="0"/>
    <xf numFmtId="0" fontId="11" fillId="2" borderId="0"/>
    <xf numFmtId="0" fontId="40" fillId="2" borderId="0"/>
    <xf numFmtId="0" fontId="40" fillId="2" borderId="0"/>
    <xf numFmtId="0" fontId="40" fillId="2" borderId="0"/>
    <xf numFmtId="0" fontId="11" fillId="2" borderId="0"/>
    <xf numFmtId="0" fontId="40" fillId="2" borderId="0"/>
    <xf numFmtId="0" fontId="40" fillId="2" borderId="0"/>
    <xf numFmtId="0" fontId="40" fillId="2" borderId="0"/>
    <xf numFmtId="0" fontId="11" fillId="2" borderId="0"/>
    <xf numFmtId="0" fontId="40" fillId="2" borderId="0"/>
    <xf numFmtId="0" fontId="11" fillId="2" borderId="0"/>
    <xf numFmtId="0" fontId="40" fillId="2" borderId="0"/>
    <xf numFmtId="0" fontId="40" fillId="2" borderId="0"/>
    <xf numFmtId="0" fontId="40" fillId="2" borderId="0"/>
    <xf numFmtId="0" fontId="11" fillId="2" borderId="0"/>
    <xf numFmtId="0" fontId="40" fillId="2" borderId="0"/>
    <xf numFmtId="0" fontId="40" fillId="2" borderId="0"/>
    <xf numFmtId="0" fontId="40" fillId="3" borderId="0"/>
    <xf numFmtId="0" fontId="11" fillId="3" borderId="0"/>
    <xf numFmtId="0" fontId="40" fillId="3" borderId="0"/>
    <xf numFmtId="0" fontId="11" fillId="3" borderId="0"/>
    <xf numFmtId="0" fontId="40" fillId="3" borderId="0"/>
    <xf numFmtId="0" fontId="40" fillId="3" borderId="0"/>
    <xf numFmtId="0" fontId="40" fillId="3" borderId="0"/>
    <xf numFmtId="0" fontId="11" fillId="3" borderId="0"/>
    <xf numFmtId="0" fontId="40" fillId="3" borderId="0"/>
    <xf numFmtId="0" fontId="40" fillId="3" borderId="0"/>
    <xf numFmtId="0" fontId="40" fillId="3" borderId="0"/>
    <xf numFmtId="0" fontId="11" fillId="3" borderId="0"/>
    <xf numFmtId="0" fontId="40" fillId="3" borderId="0"/>
    <xf numFmtId="0" fontId="11" fillId="3" borderId="0"/>
    <xf numFmtId="0" fontId="40" fillId="3" borderId="0"/>
    <xf numFmtId="0" fontId="40" fillId="3" borderId="0"/>
    <xf numFmtId="0" fontId="40" fillId="3" borderId="0"/>
    <xf numFmtId="0" fontId="11" fillId="3" borderId="0"/>
    <xf numFmtId="0" fontId="40" fillId="3" borderId="0"/>
    <xf numFmtId="0" fontId="40" fillId="3" borderId="0"/>
    <xf numFmtId="0" fontId="40" fillId="3" borderId="0"/>
    <xf numFmtId="0" fontId="11" fillId="3" borderId="0"/>
    <xf numFmtId="0" fontId="40" fillId="3" borderId="0"/>
    <xf numFmtId="0" fontId="11" fillId="3" borderId="0"/>
    <xf numFmtId="0" fontId="40" fillId="3" borderId="0"/>
    <xf numFmtId="0" fontId="40" fillId="3" borderId="0"/>
    <xf numFmtId="0" fontId="40" fillId="3" borderId="0"/>
    <xf numFmtId="0" fontId="11" fillId="3" borderId="0"/>
    <xf numFmtId="0" fontId="40" fillId="3" borderId="0"/>
    <xf numFmtId="0" fontId="40" fillId="3" borderId="0"/>
    <xf numFmtId="0" fontId="40" fillId="3" borderId="0"/>
    <xf numFmtId="0" fontId="11" fillId="3" borderId="0"/>
    <xf numFmtId="0" fontId="40" fillId="3" borderId="0"/>
    <xf numFmtId="0" fontId="11" fillId="3" borderId="0"/>
    <xf numFmtId="0" fontId="40" fillId="3" borderId="0"/>
    <xf numFmtId="0" fontId="40" fillId="3" borderId="0"/>
    <xf numFmtId="0" fontId="40" fillId="3" borderId="0"/>
    <xf numFmtId="0" fontId="11" fillId="3" borderId="0"/>
    <xf numFmtId="0" fontId="40" fillId="3" borderId="0"/>
    <xf numFmtId="0" fontId="40" fillId="3" borderId="0"/>
    <xf numFmtId="0" fontId="40" fillId="3" borderId="0"/>
    <xf numFmtId="0" fontId="11" fillId="3" borderId="0"/>
    <xf numFmtId="0" fontId="40" fillId="3" borderId="0"/>
    <xf numFmtId="0" fontId="11" fillId="3" borderId="0"/>
    <xf numFmtId="0" fontId="40" fillId="3" borderId="0"/>
    <xf numFmtId="0" fontId="40" fillId="3" borderId="0"/>
    <xf numFmtId="0" fontId="40" fillId="3" borderId="0"/>
    <xf numFmtId="0" fontId="11" fillId="3" borderId="0"/>
    <xf numFmtId="0" fontId="40" fillId="3" borderId="0"/>
    <xf numFmtId="0" fontId="40" fillId="3" borderId="0"/>
    <xf numFmtId="0" fontId="40" fillId="4" borderId="0"/>
    <xf numFmtId="0" fontId="11" fillId="4" borderId="0"/>
    <xf numFmtId="0" fontId="40" fillId="4" borderId="0"/>
    <xf numFmtId="0" fontId="11" fillId="4" borderId="0"/>
    <xf numFmtId="0" fontId="40" fillId="4" borderId="0"/>
    <xf numFmtId="0" fontId="40" fillId="4" borderId="0"/>
    <xf numFmtId="0" fontId="40" fillId="4" borderId="0"/>
    <xf numFmtId="0" fontId="11" fillId="4" borderId="0"/>
    <xf numFmtId="0" fontId="40" fillId="4" borderId="0"/>
    <xf numFmtId="0" fontId="40" fillId="4" borderId="0"/>
    <xf numFmtId="0" fontId="40" fillId="4" borderId="0"/>
    <xf numFmtId="0" fontId="11" fillId="4" borderId="0"/>
    <xf numFmtId="0" fontId="40" fillId="4" borderId="0"/>
    <xf numFmtId="0" fontId="11" fillId="4" borderId="0"/>
    <xf numFmtId="0" fontId="40" fillId="4" borderId="0"/>
    <xf numFmtId="0" fontId="40" fillId="4" borderId="0"/>
    <xf numFmtId="0" fontId="40" fillId="4" borderId="0"/>
    <xf numFmtId="0" fontId="11" fillId="4" borderId="0"/>
    <xf numFmtId="0" fontId="40" fillId="4" borderId="0"/>
    <xf numFmtId="0" fontId="40" fillId="4" borderId="0"/>
    <xf numFmtId="0" fontId="40" fillId="4" borderId="0"/>
    <xf numFmtId="0" fontId="11" fillId="4" borderId="0"/>
    <xf numFmtId="0" fontId="40" fillId="4" borderId="0"/>
    <xf numFmtId="0" fontId="11" fillId="4" borderId="0"/>
    <xf numFmtId="0" fontId="40" fillId="4" borderId="0"/>
    <xf numFmtId="0" fontId="40" fillId="4" borderId="0"/>
    <xf numFmtId="0" fontId="40" fillId="4" borderId="0"/>
    <xf numFmtId="0" fontId="11" fillId="4" borderId="0"/>
    <xf numFmtId="0" fontId="40" fillId="4" borderId="0"/>
    <xf numFmtId="0" fontId="40" fillId="4" borderId="0"/>
    <xf numFmtId="0" fontId="40" fillId="4" borderId="0"/>
    <xf numFmtId="0" fontId="11" fillId="4" borderId="0"/>
    <xf numFmtId="0" fontId="40" fillId="4" borderId="0"/>
    <xf numFmtId="0" fontId="11" fillId="4" borderId="0"/>
    <xf numFmtId="0" fontId="40" fillId="4" borderId="0"/>
    <xf numFmtId="0" fontId="40" fillId="4" borderId="0"/>
    <xf numFmtId="0" fontId="40" fillId="4" borderId="0"/>
    <xf numFmtId="0" fontId="11" fillId="4" borderId="0"/>
    <xf numFmtId="0" fontId="40" fillId="4" borderId="0"/>
    <xf numFmtId="0" fontId="40" fillId="4" borderId="0"/>
    <xf numFmtId="0" fontId="40" fillId="4" borderId="0"/>
    <xf numFmtId="0" fontId="11" fillId="4" borderId="0"/>
    <xf numFmtId="0" fontId="40" fillId="4" borderId="0"/>
    <xf numFmtId="0" fontId="11" fillId="4" borderId="0"/>
    <xf numFmtId="0" fontId="40" fillId="4" borderId="0"/>
    <xf numFmtId="0" fontId="40" fillId="4" borderId="0"/>
    <xf numFmtId="0" fontId="40" fillId="4" borderId="0"/>
    <xf numFmtId="0" fontId="11" fillId="4" borderId="0"/>
    <xf numFmtId="0" fontId="40" fillId="4" borderId="0"/>
    <xf numFmtId="0" fontId="40" fillId="4" borderId="0"/>
    <xf numFmtId="0" fontId="40" fillId="5" borderId="0"/>
    <xf numFmtId="0" fontId="11" fillId="5" borderId="0"/>
    <xf numFmtId="0" fontId="40" fillId="5" borderId="0"/>
    <xf numFmtId="0" fontId="11" fillId="5" borderId="0"/>
    <xf numFmtId="0" fontId="40" fillId="5" borderId="0"/>
    <xf numFmtId="0" fontId="40" fillId="5" borderId="0"/>
    <xf numFmtId="0" fontId="40" fillId="5" borderId="0"/>
    <xf numFmtId="0" fontId="11" fillId="5" borderId="0"/>
    <xf numFmtId="0" fontId="40" fillId="5" borderId="0"/>
    <xf numFmtId="0" fontId="40" fillId="5" borderId="0"/>
    <xf numFmtId="0" fontId="40" fillId="5" borderId="0"/>
    <xf numFmtId="0" fontId="11" fillId="5" borderId="0"/>
    <xf numFmtId="0" fontId="40" fillId="5" borderId="0"/>
    <xf numFmtId="0" fontId="11" fillId="5" borderId="0"/>
    <xf numFmtId="0" fontId="40" fillId="5" borderId="0"/>
    <xf numFmtId="0" fontId="40" fillId="5" borderId="0"/>
    <xf numFmtId="0" fontId="40" fillId="5" borderId="0"/>
    <xf numFmtId="0" fontId="11" fillId="5" borderId="0"/>
    <xf numFmtId="0" fontId="40" fillId="5" borderId="0"/>
    <xf numFmtId="0" fontId="40" fillId="5" borderId="0"/>
    <xf numFmtId="0" fontId="40" fillId="5" borderId="0"/>
    <xf numFmtId="0" fontId="11" fillId="5" borderId="0"/>
    <xf numFmtId="0" fontId="40" fillId="5" borderId="0"/>
    <xf numFmtId="0" fontId="11" fillId="5" borderId="0"/>
    <xf numFmtId="0" fontId="40" fillId="5" borderId="0"/>
    <xf numFmtId="0" fontId="40" fillId="5" borderId="0"/>
    <xf numFmtId="0" fontId="40" fillId="5" borderId="0"/>
    <xf numFmtId="0" fontId="11" fillId="5" borderId="0"/>
    <xf numFmtId="0" fontId="40" fillId="5" borderId="0"/>
    <xf numFmtId="0" fontId="40" fillId="5" borderId="0"/>
    <xf numFmtId="0" fontId="40" fillId="5" borderId="0"/>
    <xf numFmtId="0" fontId="11" fillId="5" borderId="0"/>
    <xf numFmtId="0" fontId="40" fillId="5" borderId="0"/>
    <xf numFmtId="0" fontId="11" fillId="5" borderId="0"/>
    <xf numFmtId="0" fontId="40" fillId="5" borderId="0"/>
    <xf numFmtId="0" fontId="40" fillId="5" borderId="0"/>
    <xf numFmtId="0" fontId="40" fillId="5" borderId="0"/>
    <xf numFmtId="0" fontId="11" fillId="5" borderId="0"/>
    <xf numFmtId="0" fontId="40" fillId="5" borderId="0"/>
    <xf numFmtId="0" fontId="40" fillId="5" borderId="0"/>
    <xf numFmtId="0" fontId="40" fillId="5" borderId="0"/>
    <xf numFmtId="0" fontId="11" fillId="5" borderId="0"/>
    <xf numFmtId="0" fontId="40" fillId="5" borderId="0"/>
    <xf numFmtId="0" fontId="11" fillId="5" borderId="0"/>
    <xf numFmtId="0" fontId="40" fillId="5" borderId="0"/>
    <xf numFmtId="0" fontId="40" fillId="5" borderId="0"/>
    <xf numFmtId="0" fontId="40" fillId="5" borderId="0"/>
    <xf numFmtId="0" fontId="11" fillId="5" borderId="0"/>
    <xf numFmtId="0" fontId="40" fillId="5" borderId="0"/>
    <xf numFmtId="0" fontId="40" fillId="5" borderId="0"/>
    <xf numFmtId="0" fontId="40" fillId="6" borderId="0"/>
    <xf numFmtId="0" fontId="11" fillId="6" borderId="0"/>
    <xf numFmtId="0" fontId="40" fillId="6" borderId="0"/>
    <xf numFmtId="0" fontId="11" fillId="6" borderId="0"/>
    <xf numFmtId="0" fontId="40" fillId="6" borderId="0"/>
    <xf numFmtId="0" fontId="40" fillId="6" borderId="0"/>
    <xf numFmtId="0" fontId="40" fillId="6" borderId="0"/>
    <xf numFmtId="0" fontId="11" fillId="6" borderId="0"/>
    <xf numFmtId="0" fontId="40" fillId="6" borderId="0"/>
    <xf numFmtId="0" fontId="40" fillId="6" borderId="0"/>
    <xf numFmtId="0" fontId="40" fillId="6" borderId="0"/>
    <xf numFmtId="0" fontId="11" fillId="6" borderId="0"/>
    <xf numFmtId="0" fontId="40" fillId="6" borderId="0"/>
    <xf numFmtId="0" fontId="11" fillId="6" borderId="0"/>
    <xf numFmtId="0" fontId="40" fillId="6" borderId="0"/>
    <xf numFmtId="0" fontId="40" fillId="6" borderId="0"/>
    <xf numFmtId="0" fontId="40" fillId="6" borderId="0"/>
    <xf numFmtId="0" fontId="40" fillId="6" borderId="0"/>
    <xf numFmtId="0" fontId="40" fillId="6" borderId="0"/>
    <xf numFmtId="0" fontId="40" fillId="6" borderId="0"/>
    <xf numFmtId="0" fontId="11" fillId="6" borderId="0"/>
    <xf numFmtId="0" fontId="40" fillId="6" borderId="0"/>
    <xf numFmtId="0" fontId="11" fillId="6" borderId="0"/>
    <xf numFmtId="0" fontId="40" fillId="6" borderId="0"/>
    <xf numFmtId="0" fontId="40" fillId="6" borderId="0"/>
    <xf numFmtId="0" fontId="40" fillId="6" borderId="0"/>
    <xf numFmtId="0" fontId="11" fillId="6" borderId="0"/>
    <xf numFmtId="0" fontId="40" fillId="6" borderId="0"/>
    <xf numFmtId="0" fontId="40" fillId="6" borderId="0"/>
    <xf numFmtId="0" fontId="40" fillId="6" borderId="0"/>
    <xf numFmtId="0" fontId="11" fillId="6" borderId="0"/>
    <xf numFmtId="0" fontId="40" fillId="6" borderId="0"/>
    <xf numFmtId="0" fontId="11" fillId="6" borderId="0"/>
    <xf numFmtId="0" fontId="40" fillId="6" borderId="0"/>
    <xf numFmtId="0" fontId="40" fillId="6" borderId="0"/>
    <xf numFmtId="0" fontId="40" fillId="6" borderId="0"/>
    <xf numFmtId="0" fontId="11" fillId="6" borderId="0"/>
    <xf numFmtId="0" fontId="40" fillId="6" borderId="0"/>
    <xf numFmtId="0" fontId="40" fillId="6" borderId="0"/>
    <xf numFmtId="0" fontId="40" fillId="6" borderId="0"/>
    <xf numFmtId="0" fontId="11" fillId="6" borderId="0"/>
    <xf numFmtId="0" fontId="40" fillId="6" borderId="0"/>
    <xf numFmtId="0" fontId="11" fillId="6" borderId="0"/>
    <xf numFmtId="0" fontId="40" fillId="6" borderId="0"/>
    <xf numFmtId="0" fontId="40" fillId="6" borderId="0"/>
    <xf numFmtId="0" fontId="40" fillId="6" borderId="0"/>
    <xf numFmtId="0" fontId="11" fillId="6" borderId="0"/>
    <xf numFmtId="0" fontId="40" fillId="6" borderId="0"/>
    <xf numFmtId="0" fontId="40" fillId="6" borderId="0"/>
    <xf numFmtId="0" fontId="40" fillId="7" borderId="0"/>
    <xf numFmtId="0" fontId="11" fillId="7" borderId="0"/>
    <xf numFmtId="0" fontId="40" fillId="7" borderId="0"/>
    <xf numFmtId="0" fontId="11" fillId="7" borderId="0"/>
    <xf numFmtId="0" fontId="40" fillId="7" borderId="0"/>
    <xf numFmtId="0" fontId="40" fillId="7" borderId="0"/>
    <xf numFmtId="0" fontId="40" fillId="7" borderId="0"/>
    <xf numFmtId="0" fontId="11" fillId="7" borderId="0"/>
    <xf numFmtId="0" fontId="40" fillId="7" borderId="0"/>
    <xf numFmtId="0" fontId="40" fillId="7" borderId="0"/>
    <xf numFmtId="0" fontId="40" fillId="7" borderId="0"/>
    <xf numFmtId="0" fontId="11" fillId="7" borderId="0"/>
    <xf numFmtId="0" fontId="40" fillId="7" borderId="0"/>
    <xf numFmtId="0" fontId="11" fillId="7" borderId="0"/>
    <xf numFmtId="0" fontId="40" fillId="7" borderId="0"/>
    <xf numFmtId="0" fontId="40" fillId="7" borderId="0"/>
    <xf numFmtId="0" fontId="40" fillId="7" borderId="0"/>
    <xf numFmtId="0" fontId="11" fillId="7" borderId="0"/>
    <xf numFmtId="0" fontId="40" fillId="7" borderId="0"/>
    <xf numFmtId="0" fontId="40" fillId="7" borderId="0"/>
    <xf numFmtId="0" fontId="40" fillId="7" borderId="0"/>
    <xf numFmtId="0" fontId="11" fillId="7" borderId="0"/>
    <xf numFmtId="0" fontId="40" fillId="7" borderId="0"/>
    <xf numFmtId="0" fontId="11" fillId="7" borderId="0"/>
    <xf numFmtId="0" fontId="40" fillId="7" borderId="0"/>
    <xf numFmtId="0" fontId="40" fillId="7" borderId="0"/>
    <xf numFmtId="0" fontId="40" fillId="7" borderId="0"/>
    <xf numFmtId="0" fontId="11" fillId="7" borderId="0"/>
    <xf numFmtId="0" fontId="40" fillId="7" borderId="0"/>
    <xf numFmtId="0" fontId="40" fillId="7" borderId="0"/>
    <xf numFmtId="0" fontId="40" fillId="7" borderId="0"/>
    <xf numFmtId="0" fontId="11" fillId="7" borderId="0"/>
    <xf numFmtId="0" fontId="40" fillId="7" borderId="0"/>
    <xf numFmtId="0" fontId="11" fillId="7" borderId="0"/>
    <xf numFmtId="0" fontId="40" fillId="7" borderId="0"/>
    <xf numFmtId="0" fontId="40" fillId="7" borderId="0"/>
    <xf numFmtId="0" fontId="40" fillId="7" borderId="0"/>
    <xf numFmtId="0" fontId="11" fillId="7" borderId="0"/>
    <xf numFmtId="0" fontId="40" fillId="7" borderId="0"/>
    <xf numFmtId="0" fontId="40" fillId="7" borderId="0"/>
    <xf numFmtId="0" fontId="40" fillId="7" borderId="0"/>
    <xf numFmtId="0" fontId="11" fillId="7" borderId="0"/>
    <xf numFmtId="0" fontId="40" fillId="7" borderId="0"/>
    <xf numFmtId="0" fontId="11" fillId="7" borderId="0"/>
    <xf numFmtId="0" fontId="40" fillId="7" borderId="0"/>
    <xf numFmtId="0" fontId="40" fillId="7" borderId="0"/>
    <xf numFmtId="0" fontId="40" fillId="7" borderId="0"/>
    <xf numFmtId="0" fontId="11" fillId="7" borderId="0"/>
    <xf numFmtId="0" fontId="40" fillId="7" borderId="0"/>
    <xf numFmtId="0" fontId="40" fillId="7" borderId="0"/>
    <xf numFmtId="0" fontId="40" fillId="2" borderId="0"/>
    <xf numFmtId="0" fontId="11" fillId="2" borderId="0"/>
    <xf numFmtId="0" fontId="40" fillId="2" borderId="0"/>
    <xf numFmtId="0" fontId="11" fillId="2" borderId="0"/>
    <xf numFmtId="0" fontId="40" fillId="2" borderId="0"/>
    <xf numFmtId="0" fontId="40" fillId="2" borderId="0"/>
    <xf numFmtId="0" fontId="40" fillId="2" borderId="0"/>
    <xf numFmtId="0" fontId="11" fillId="2" borderId="0"/>
    <xf numFmtId="0" fontId="40" fillId="2" borderId="0"/>
    <xf numFmtId="0" fontId="40" fillId="2" borderId="0"/>
    <xf numFmtId="0" fontId="40" fillId="3" borderId="0"/>
    <xf numFmtId="0" fontId="11" fillId="3" borderId="0"/>
    <xf numFmtId="0" fontId="40" fillId="3" borderId="0"/>
    <xf numFmtId="0" fontId="11" fillId="3" borderId="0"/>
    <xf numFmtId="0" fontId="40" fillId="3" borderId="0"/>
    <xf numFmtId="0" fontId="40" fillId="3" borderId="0"/>
    <xf numFmtId="0" fontId="40" fillId="3" borderId="0"/>
    <xf numFmtId="0" fontId="11" fillId="3" borderId="0"/>
    <xf numFmtId="0" fontId="40" fillId="3" borderId="0"/>
    <xf numFmtId="0" fontId="40" fillId="3" borderId="0"/>
    <xf numFmtId="0" fontId="40" fillId="4" borderId="0"/>
    <xf numFmtId="0" fontId="11" fillId="4" borderId="0"/>
    <xf numFmtId="0" fontId="40" fillId="4" borderId="0"/>
    <xf numFmtId="0" fontId="11" fillId="4" borderId="0"/>
    <xf numFmtId="0" fontId="40" fillId="4" borderId="0"/>
    <xf numFmtId="0" fontId="40" fillId="4" borderId="0"/>
    <xf numFmtId="0" fontId="40" fillId="4" borderId="0"/>
    <xf numFmtId="0" fontId="11" fillId="4" borderId="0"/>
    <xf numFmtId="0" fontId="40" fillId="4" borderId="0"/>
    <xf numFmtId="0" fontId="40" fillId="4" borderId="0"/>
    <xf numFmtId="0" fontId="40" fillId="5" borderId="0"/>
    <xf numFmtId="0" fontId="11" fillId="5" borderId="0"/>
    <xf numFmtId="0" fontId="40" fillId="5" borderId="0"/>
    <xf numFmtId="0" fontId="11" fillId="5" borderId="0"/>
    <xf numFmtId="0" fontId="40" fillId="5" borderId="0"/>
    <xf numFmtId="0" fontId="40" fillId="5" borderId="0"/>
    <xf numFmtId="0" fontId="40" fillId="5" borderId="0"/>
    <xf numFmtId="0" fontId="11" fillId="5" borderId="0"/>
    <xf numFmtId="0" fontId="40" fillId="5" borderId="0"/>
    <xf numFmtId="0" fontId="40" fillId="5" borderId="0"/>
    <xf numFmtId="0" fontId="40" fillId="6" borderId="0"/>
    <xf numFmtId="0" fontId="11" fillId="6" borderId="0"/>
    <xf numFmtId="0" fontId="40" fillId="6" borderId="0"/>
    <xf numFmtId="0" fontId="11" fillId="6" borderId="0"/>
    <xf numFmtId="0" fontId="40" fillId="6" borderId="0"/>
    <xf numFmtId="0" fontId="40" fillId="6" borderId="0"/>
    <xf numFmtId="0" fontId="40" fillId="6" borderId="0"/>
    <xf numFmtId="0" fontId="11" fillId="6" borderId="0"/>
    <xf numFmtId="0" fontId="40" fillId="6" borderId="0"/>
    <xf numFmtId="0" fontId="40" fillId="6" borderId="0"/>
    <xf numFmtId="0" fontId="40" fillId="7" borderId="0"/>
    <xf numFmtId="0" fontId="11" fillId="7" borderId="0"/>
    <xf numFmtId="0" fontId="40" fillId="7" borderId="0"/>
    <xf numFmtId="0" fontId="11" fillId="7" borderId="0"/>
    <xf numFmtId="0" fontId="40" fillId="7" borderId="0"/>
    <xf numFmtId="0" fontId="40" fillId="7" borderId="0"/>
    <xf numFmtId="0" fontId="40" fillId="7" borderId="0"/>
    <xf numFmtId="0" fontId="11" fillId="7" borderId="0"/>
    <xf numFmtId="0" fontId="40" fillId="7" borderId="0"/>
    <xf numFmtId="0" fontId="40" fillId="7" borderId="0"/>
    <xf numFmtId="0" fontId="40" fillId="8" borderId="0"/>
    <xf numFmtId="0" fontId="11" fillId="8" borderId="0"/>
    <xf numFmtId="0" fontId="40" fillId="8" borderId="0"/>
    <xf numFmtId="0" fontId="11" fillId="8" borderId="0"/>
    <xf numFmtId="0" fontId="40" fillId="8" borderId="0"/>
    <xf numFmtId="0" fontId="40" fillId="8" borderId="0"/>
    <xf numFmtId="0" fontId="40" fillId="8" borderId="0"/>
    <xf numFmtId="0" fontId="11" fillId="8" borderId="0"/>
    <xf numFmtId="0" fontId="40" fillId="8" borderId="0"/>
    <xf numFmtId="0" fontId="40" fillId="8" borderId="0"/>
    <xf numFmtId="0" fontId="40" fillId="8" borderId="0"/>
    <xf numFmtId="0" fontId="11" fillId="8" borderId="0"/>
    <xf numFmtId="0" fontId="40" fillId="8" borderId="0"/>
    <xf numFmtId="0" fontId="11" fillId="8" borderId="0"/>
    <xf numFmtId="0" fontId="40" fillId="8" borderId="0"/>
    <xf numFmtId="0" fontId="40" fillId="8" borderId="0"/>
    <xf numFmtId="0" fontId="40" fillId="8" borderId="0"/>
    <xf numFmtId="0" fontId="11" fillId="8" borderId="0"/>
    <xf numFmtId="0" fontId="40" fillId="8" borderId="0"/>
    <xf numFmtId="0" fontId="40" fillId="8" borderId="0"/>
    <xf numFmtId="0" fontId="40" fillId="8" borderId="0"/>
    <xf numFmtId="0" fontId="11" fillId="8" borderId="0"/>
    <xf numFmtId="0" fontId="40" fillId="8" borderId="0"/>
    <xf numFmtId="0" fontId="11" fillId="8" borderId="0"/>
    <xf numFmtId="0" fontId="40" fillId="8" borderId="0"/>
    <xf numFmtId="0" fontId="40" fillId="8" borderId="0"/>
    <xf numFmtId="0" fontId="40" fillId="8" borderId="0"/>
    <xf numFmtId="0" fontId="11" fillId="8" borderId="0"/>
    <xf numFmtId="0" fontId="40" fillId="8" borderId="0"/>
    <xf numFmtId="0" fontId="40" fillId="8" borderId="0"/>
    <xf numFmtId="0" fontId="40" fillId="8" borderId="0"/>
    <xf numFmtId="0" fontId="11" fillId="8" borderId="0"/>
    <xf numFmtId="0" fontId="40" fillId="8" borderId="0"/>
    <xf numFmtId="0" fontId="11" fillId="8" borderId="0"/>
    <xf numFmtId="0" fontId="40" fillId="8" borderId="0"/>
    <xf numFmtId="0" fontId="40" fillId="8" borderId="0"/>
    <xf numFmtId="0" fontId="40" fillId="8" borderId="0"/>
    <xf numFmtId="0" fontId="11" fillId="8" borderId="0"/>
    <xf numFmtId="0" fontId="40" fillId="8" borderId="0"/>
    <xf numFmtId="0" fontId="40" fillId="8" borderId="0"/>
    <xf numFmtId="0" fontId="40" fillId="8" borderId="0"/>
    <xf numFmtId="0" fontId="11" fillId="8" borderId="0"/>
    <xf numFmtId="0" fontId="40" fillId="8" borderId="0"/>
    <xf numFmtId="0" fontId="11" fillId="8" borderId="0"/>
    <xf numFmtId="0" fontId="40" fillId="8" borderId="0"/>
    <xf numFmtId="0" fontId="40" fillId="8" borderId="0"/>
    <xf numFmtId="0" fontId="40" fillId="8" borderId="0"/>
    <xf numFmtId="0" fontId="11" fillId="8" borderId="0"/>
    <xf numFmtId="0" fontId="40" fillId="8" borderId="0"/>
    <xf numFmtId="0" fontId="40" fillId="8" borderId="0"/>
    <xf numFmtId="0" fontId="40" fillId="9" borderId="0"/>
    <xf numFmtId="0" fontId="11" fillId="9" borderId="0"/>
    <xf numFmtId="0" fontId="40" fillId="9" borderId="0"/>
    <xf numFmtId="0" fontId="11" fillId="9" borderId="0"/>
    <xf numFmtId="0" fontId="40" fillId="9" borderId="0"/>
    <xf numFmtId="0" fontId="40" fillId="9" borderId="0"/>
    <xf numFmtId="0" fontId="40" fillId="9" borderId="0"/>
    <xf numFmtId="0" fontId="11" fillId="9" borderId="0"/>
    <xf numFmtId="0" fontId="40" fillId="9" borderId="0"/>
    <xf numFmtId="0" fontId="40" fillId="9" borderId="0"/>
    <xf numFmtId="0" fontId="40" fillId="9" borderId="0"/>
    <xf numFmtId="0" fontId="11" fillId="9" borderId="0"/>
    <xf numFmtId="0" fontId="40" fillId="9" borderId="0"/>
    <xf numFmtId="0" fontId="11" fillId="9" borderId="0"/>
    <xf numFmtId="0" fontId="40" fillId="9" borderId="0"/>
    <xf numFmtId="0" fontId="40" fillId="9" borderId="0"/>
    <xf numFmtId="0" fontId="40" fillId="9" borderId="0"/>
    <xf numFmtId="0" fontId="40" fillId="9" borderId="0"/>
    <xf numFmtId="0" fontId="40" fillId="9" borderId="0"/>
    <xf numFmtId="0" fontId="40" fillId="9" borderId="0"/>
    <xf numFmtId="0" fontId="11" fillId="9" borderId="0"/>
    <xf numFmtId="0" fontId="40" fillId="9" borderId="0"/>
    <xf numFmtId="0" fontId="11" fillId="9" borderId="0"/>
    <xf numFmtId="0" fontId="40" fillId="9" borderId="0"/>
    <xf numFmtId="0" fontId="40" fillId="9" borderId="0"/>
    <xf numFmtId="0" fontId="40" fillId="9" borderId="0"/>
    <xf numFmtId="0" fontId="11" fillId="9" borderId="0"/>
    <xf numFmtId="0" fontId="40" fillId="9" borderId="0"/>
    <xf numFmtId="0" fontId="40" fillId="9" borderId="0"/>
    <xf numFmtId="0" fontId="40" fillId="9" borderId="0"/>
    <xf numFmtId="0" fontId="11" fillId="9" borderId="0"/>
    <xf numFmtId="0" fontId="40" fillId="9" borderId="0"/>
    <xf numFmtId="0" fontId="11" fillId="9" borderId="0"/>
    <xf numFmtId="0" fontId="40" fillId="9" borderId="0"/>
    <xf numFmtId="0" fontId="40" fillId="9" borderId="0"/>
    <xf numFmtId="0" fontId="40" fillId="9" borderId="0"/>
    <xf numFmtId="0" fontId="11" fillId="9" borderId="0"/>
    <xf numFmtId="0" fontId="40" fillId="9" borderId="0"/>
    <xf numFmtId="0" fontId="40" fillId="9" borderId="0"/>
    <xf numFmtId="0" fontId="40" fillId="9" borderId="0"/>
    <xf numFmtId="0" fontId="11" fillId="9" borderId="0"/>
    <xf numFmtId="0" fontId="40" fillId="9" borderId="0"/>
    <xf numFmtId="0" fontId="11" fillId="9" borderId="0"/>
    <xf numFmtId="0" fontId="40" fillId="9" borderId="0"/>
    <xf numFmtId="0" fontId="40" fillId="9" borderId="0"/>
    <xf numFmtId="0" fontId="40" fillId="9" borderId="0"/>
    <xf numFmtId="0" fontId="11" fillId="9" borderId="0"/>
    <xf numFmtId="0" fontId="40" fillId="9" borderId="0"/>
    <xf numFmtId="0" fontId="40" fillId="9" borderId="0"/>
    <xf numFmtId="0" fontId="40" fillId="10" borderId="0"/>
    <xf numFmtId="0" fontId="11" fillId="10" borderId="0"/>
    <xf numFmtId="0" fontId="40" fillId="10" borderId="0"/>
    <xf numFmtId="0" fontId="11" fillId="10" borderId="0"/>
    <xf numFmtId="0" fontId="40" fillId="10" borderId="0"/>
    <xf numFmtId="0" fontId="40" fillId="10" borderId="0"/>
    <xf numFmtId="0" fontId="40" fillId="10" borderId="0"/>
    <xf numFmtId="0" fontId="11" fillId="10" borderId="0"/>
    <xf numFmtId="0" fontId="40" fillId="10" borderId="0"/>
    <xf numFmtId="0" fontId="40" fillId="10" borderId="0"/>
    <xf numFmtId="0" fontId="40" fillId="10" borderId="0"/>
    <xf numFmtId="0" fontId="11" fillId="10" borderId="0"/>
    <xf numFmtId="0" fontId="40" fillId="10" borderId="0"/>
    <xf numFmtId="0" fontId="11" fillId="10" borderId="0"/>
    <xf numFmtId="0" fontId="40" fillId="10" borderId="0"/>
    <xf numFmtId="0" fontId="40" fillId="10" borderId="0"/>
    <xf numFmtId="0" fontId="40" fillId="10" borderId="0"/>
    <xf numFmtId="0" fontId="11" fillId="10" borderId="0"/>
    <xf numFmtId="0" fontId="40" fillId="10" borderId="0"/>
    <xf numFmtId="0" fontId="40" fillId="10" borderId="0"/>
    <xf numFmtId="0" fontId="40" fillId="10" borderId="0"/>
    <xf numFmtId="0" fontId="11" fillId="10" borderId="0"/>
    <xf numFmtId="0" fontId="40" fillId="10" borderId="0"/>
    <xf numFmtId="0" fontId="11" fillId="10" borderId="0"/>
    <xf numFmtId="0" fontId="40" fillId="10" borderId="0"/>
    <xf numFmtId="0" fontId="40" fillId="10" borderId="0"/>
    <xf numFmtId="0" fontId="40" fillId="10" borderId="0"/>
    <xf numFmtId="0" fontId="11" fillId="10" borderId="0"/>
    <xf numFmtId="0" fontId="40" fillId="10" borderId="0"/>
    <xf numFmtId="0" fontId="40" fillId="10" borderId="0"/>
    <xf numFmtId="0" fontId="40" fillId="10" borderId="0"/>
    <xf numFmtId="0" fontId="11" fillId="10" borderId="0"/>
    <xf numFmtId="0" fontId="40" fillId="10" borderId="0"/>
    <xf numFmtId="0" fontId="11" fillId="10" borderId="0"/>
    <xf numFmtId="0" fontId="40" fillId="10" borderId="0"/>
    <xf numFmtId="0" fontId="40" fillId="10" borderId="0"/>
    <xf numFmtId="0" fontId="40" fillId="10" borderId="0"/>
    <xf numFmtId="0" fontId="11" fillId="10" borderId="0"/>
    <xf numFmtId="0" fontId="40" fillId="10" borderId="0"/>
    <xf numFmtId="0" fontId="40" fillId="10" borderId="0"/>
    <xf numFmtId="0" fontId="40" fillId="10" borderId="0"/>
    <xf numFmtId="0" fontId="11" fillId="10" borderId="0"/>
    <xf numFmtId="0" fontId="40" fillId="10" borderId="0"/>
    <xf numFmtId="0" fontId="11" fillId="10" borderId="0"/>
    <xf numFmtId="0" fontId="40" fillId="10" borderId="0"/>
    <xf numFmtId="0" fontId="40" fillId="10" borderId="0"/>
    <xf numFmtId="0" fontId="40" fillId="10" borderId="0"/>
    <xf numFmtId="0" fontId="11" fillId="10" borderId="0"/>
    <xf numFmtId="0" fontId="40" fillId="10" borderId="0"/>
    <xf numFmtId="0" fontId="40" fillId="10" borderId="0"/>
    <xf numFmtId="0" fontId="40" fillId="11" borderId="0"/>
    <xf numFmtId="0" fontId="11" fillId="11" borderId="0"/>
    <xf numFmtId="0" fontId="40" fillId="11" borderId="0"/>
    <xf numFmtId="0" fontId="11" fillId="11" borderId="0"/>
    <xf numFmtId="0" fontId="40" fillId="11" borderId="0"/>
    <xf numFmtId="0" fontId="40" fillId="11" borderId="0"/>
    <xf numFmtId="0" fontId="40" fillId="11" borderId="0"/>
    <xf numFmtId="0" fontId="11" fillId="11" borderId="0"/>
    <xf numFmtId="0" fontId="40" fillId="11" borderId="0"/>
    <xf numFmtId="0" fontId="40" fillId="11" borderId="0"/>
    <xf numFmtId="0" fontId="40" fillId="11" borderId="0"/>
    <xf numFmtId="0" fontId="11" fillId="11" borderId="0"/>
    <xf numFmtId="0" fontId="40" fillId="11" borderId="0"/>
    <xf numFmtId="0" fontId="11" fillId="11" borderId="0"/>
    <xf numFmtId="0" fontId="40" fillId="11" borderId="0"/>
    <xf numFmtId="0" fontId="40" fillId="11" borderId="0"/>
    <xf numFmtId="0" fontId="40" fillId="11" borderId="0"/>
    <xf numFmtId="0" fontId="11" fillId="11" borderId="0"/>
    <xf numFmtId="0" fontId="40" fillId="11" borderId="0"/>
    <xf numFmtId="0" fontId="40" fillId="11" borderId="0"/>
    <xf numFmtId="0" fontId="40" fillId="11" borderId="0"/>
    <xf numFmtId="0" fontId="11" fillId="11" borderId="0"/>
    <xf numFmtId="0" fontId="40" fillId="11" borderId="0"/>
    <xf numFmtId="0" fontId="11" fillId="11" borderId="0"/>
    <xf numFmtId="0" fontId="40" fillId="11" borderId="0"/>
    <xf numFmtId="0" fontId="40" fillId="11" borderId="0"/>
    <xf numFmtId="0" fontId="40" fillId="11" borderId="0"/>
    <xf numFmtId="0" fontId="11" fillId="11" borderId="0"/>
    <xf numFmtId="0" fontId="40" fillId="11" borderId="0"/>
    <xf numFmtId="0" fontId="40" fillId="11" borderId="0"/>
    <xf numFmtId="0" fontId="40" fillId="11" borderId="0"/>
    <xf numFmtId="0" fontId="11" fillId="11" borderId="0"/>
    <xf numFmtId="0" fontId="40" fillId="11" borderId="0"/>
    <xf numFmtId="0" fontId="11" fillId="11" borderId="0"/>
    <xf numFmtId="0" fontId="40" fillId="11" borderId="0"/>
    <xf numFmtId="0" fontId="40" fillId="11" borderId="0"/>
    <xf numFmtId="0" fontId="40" fillId="11" borderId="0"/>
    <xf numFmtId="0" fontId="11" fillId="11" borderId="0"/>
    <xf numFmtId="0" fontId="40" fillId="11" borderId="0"/>
    <xf numFmtId="0" fontId="40" fillId="11" borderId="0"/>
    <xf numFmtId="0" fontId="40" fillId="11" borderId="0"/>
    <xf numFmtId="0" fontId="11" fillId="11" borderId="0"/>
    <xf numFmtId="0" fontId="40" fillId="11" borderId="0"/>
    <xf numFmtId="0" fontId="11" fillId="11" borderId="0"/>
    <xf numFmtId="0" fontId="40" fillId="11" borderId="0"/>
    <xf numFmtId="0" fontId="40" fillId="11" borderId="0"/>
    <xf numFmtId="0" fontId="40" fillId="11" borderId="0"/>
    <xf numFmtId="0" fontId="11" fillId="11" borderId="0"/>
    <xf numFmtId="0" fontId="40" fillId="11" borderId="0"/>
    <xf numFmtId="0" fontId="40" fillId="11" borderId="0"/>
    <xf numFmtId="0" fontId="40" fillId="12" borderId="0"/>
    <xf numFmtId="0" fontId="11" fillId="12" borderId="0"/>
    <xf numFmtId="0" fontId="40" fillId="12" borderId="0"/>
    <xf numFmtId="0" fontId="11" fillId="12" borderId="0"/>
    <xf numFmtId="0" fontId="40" fillId="12" borderId="0"/>
    <xf numFmtId="0" fontId="40" fillId="12" borderId="0"/>
    <xf numFmtId="0" fontId="40" fillId="12" borderId="0"/>
    <xf numFmtId="0" fontId="11" fillId="12" borderId="0"/>
    <xf numFmtId="0" fontId="40" fillId="12" borderId="0"/>
    <xf numFmtId="0" fontId="40" fillId="12" borderId="0"/>
    <xf numFmtId="0" fontId="40" fillId="12" borderId="0"/>
    <xf numFmtId="0" fontId="11" fillId="12" borderId="0"/>
    <xf numFmtId="0" fontId="40" fillId="12" borderId="0"/>
    <xf numFmtId="0" fontId="11" fillId="12" borderId="0"/>
    <xf numFmtId="0" fontId="40" fillId="12" borderId="0"/>
    <xf numFmtId="0" fontId="40" fillId="12" borderId="0"/>
    <xf numFmtId="0" fontId="40" fillId="12" borderId="0"/>
    <xf numFmtId="0" fontId="11" fillId="12" borderId="0"/>
    <xf numFmtId="0" fontId="40" fillId="12" borderId="0"/>
    <xf numFmtId="0" fontId="40" fillId="12" borderId="0"/>
    <xf numFmtId="0" fontId="40" fillId="12" borderId="0"/>
    <xf numFmtId="0" fontId="11" fillId="12" borderId="0"/>
    <xf numFmtId="0" fontId="40" fillId="12" borderId="0"/>
    <xf numFmtId="0" fontId="11" fillId="12" borderId="0"/>
    <xf numFmtId="0" fontId="40" fillId="12" borderId="0"/>
    <xf numFmtId="0" fontId="40" fillId="12" borderId="0"/>
    <xf numFmtId="0" fontId="40" fillId="12" borderId="0"/>
    <xf numFmtId="0" fontId="11" fillId="12" borderId="0"/>
    <xf numFmtId="0" fontId="40" fillId="12" borderId="0"/>
    <xf numFmtId="0" fontId="40" fillId="12" borderId="0"/>
    <xf numFmtId="0" fontId="40" fillId="12" borderId="0"/>
    <xf numFmtId="0" fontId="11" fillId="12" borderId="0"/>
    <xf numFmtId="0" fontId="40" fillId="12" borderId="0"/>
    <xf numFmtId="0" fontId="11" fillId="12" borderId="0"/>
    <xf numFmtId="0" fontId="40" fillId="12" borderId="0"/>
    <xf numFmtId="0" fontId="40" fillId="12" borderId="0"/>
    <xf numFmtId="0" fontId="40" fillId="12" borderId="0"/>
    <xf numFmtId="0" fontId="11" fillId="12" borderId="0"/>
    <xf numFmtId="0" fontId="40" fillId="12" borderId="0"/>
    <xf numFmtId="0" fontId="40" fillId="12" borderId="0"/>
    <xf numFmtId="0" fontId="40" fillId="12" borderId="0"/>
    <xf numFmtId="0" fontId="11" fillId="12" borderId="0"/>
    <xf numFmtId="0" fontId="40" fillId="12" borderId="0"/>
    <xf numFmtId="0" fontId="11" fillId="12" borderId="0"/>
    <xf numFmtId="0" fontId="40" fillId="12" borderId="0"/>
    <xf numFmtId="0" fontId="40" fillId="12" borderId="0"/>
    <xf numFmtId="0" fontId="40" fillId="12" borderId="0"/>
    <xf numFmtId="0" fontId="11" fillId="12" borderId="0"/>
    <xf numFmtId="0" fontId="40" fillId="12" borderId="0"/>
    <xf numFmtId="0" fontId="40" fillId="12" borderId="0"/>
    <xf numFmtId="0" fontId="40" fillId="13" borderId="0"/>
    <xf numFmtId="0" fontId="11" fillId="13" borderId="0"/>
    <xf numFmtId="0" fontId="40" fillId="13" borderId="0"/>
    <xf numFmtId="0" fontId="11" fillId="13" borderId="0"/>
    <xf numFmtId="0" fontId="40" fillId="13" borderId="0"/>
    <xf numFmtId="0" fontId="40" fillId="13" borderId="0"/>
    <xf numFmtId="0" fontId="40" fillId="13" borderId="0"/>
    <xf numFmtId="0" fontId="11" fillId="13" borderId="0"/>
    <xf numFmtId="0" fontId="40" fillId="13" borderId="0"/>
    <xf numFmtId="0" fontId="40" fillId="13" borderId="0"/>
    <xf numFmtId="0" fontId="40" fillId="13" borderId="0"/>
    <xf numFmtId="0" fontId="11" fillId="13" borderId="0"/>
    <xf numFmtId="0" fontId="40" fillId="13" borderId="0"/>
    <xf numFmtId="0" fontId="11" fillId="13" borderId="0"/>
    <xf numFmtId="0" fontId="40" fillId="13" borderId="0"/>
    <xf numFmtId="0" fontId="40" fillId="13" borderId="0"/>
    <xf numFmtId="0" fontId="40" fillId="13" borderId="0"/>
    <xf numFmtId="0" fontId="11" fillId="13" borderId="0"/>
    <xf numFmtId="0" fontId="40" fillId="13" borderId="0"/>
    <xf numFmtId="0" fontId="40" fillId="13" borderId="0"/>
    <xf numFmtId="0" fontId="40" fillId="13" borderId="0"/>
    <xf numFmtId="0" fontId="11" fillId="13" borderId="0"/>
    <xf numFmtId="0" fontId="40" fillId="13" borderId="0"/>
    <xf numFmtId="0" fontId="11" fillId="13" borderId="0"/>
    <xf numFmtId="0" fontId="40" fillId="13" borderId="0"/>
    <xf numFmtId="0" fontId="40" fillId="13" borderId="0"/>
    <xf numFmtId="0" fontId="40" fillId="13" borderId="0"/>
    <xf numFmtId="0" fontId="11" fillId="13" borderId="0"/>
    <xf numFmtId="0" fontId="40" fillId="13" borderId="0"/>
    <xf numFmtId="0" fontId="40" fillId="13" borderId="0"/>
    <xf numFmtId="0" fontId="40" fillId="13" borderId="0"/>
    <xf numFmtId="0" fontId="11" fillId="13" borderId="0"/>
    <xf numFmtId="0" fontId="40" fillId="13" borderId="0"/>
    <xf numFmtId="0" fontId="11" fillId="13" borderId="0"/>
    <xf numFmtId="0" fontId="40" fillId="13" borderId="0"/>
    <xf numFmtId="0" fontId="40" fillId="13" borderId="0"/>
    <xf numFmtId="0" fontId="40" fillId="13" borderId="0"/>
    <xf numFmtId="0" fontId="11" fillId="13" borderId="0"/>
    <xf numFmtId="0" fontId="40" fillId="13" borderId="0"/>
    <xf numFmtId="0" fontId="40" fillId="13" borderId="0"/>
    <xf numFmtId="0" fontId="40" fillId="13" borderId="0"/>
    <xf numFmtId="0" fontId="11" fillId="13" borderId="0"/>
    <xf numFmtId="0" fontId="40" fillId="13" borderId="0"/>
    <xf numFmtId="0" fontId="11" fillId="13" borderId="0"/>
    <xf numFmtId="0" fontId="40" fillId="13" borderId="0"/>
    <xf numFmtId="0" fontId="40" fillId="13" borderId="0"/>
    <xf numFmtId="0" fontId="40" fillId="13" borderId="0"/>
    <xf numFmtId="0" fontId="11" fillId="13" borderId="0"/>
    <xf numFmtId="0" fontId="40" fillId="13" borderId="0"/>
    <xf numFmtId="0" fontId="40" fillId="13" borderId="0"/>
    <xf numFmtId="0" fontId="40" fillId="8" borderId="0"/>
    <xf numFmtId="0" fontId="11" fillId="8" borderId="0"/>
    <xf numFmtId="0" fontId="40" fillId="8" borderId="0"/>
    <xf numFmtId="0" fontId="11" fillId="8" borderId="0"/>
    <xf numFmtId="0" fontId="40" fillId="8" borderId="0"/>
    <xf numFmtId="0" fontId="40" fillId="8" borderId="0"/>
    <xf numFmtId="0" fontId="40" fillId="8" borderId="0"/>
    <xf numFmtId="0" fontId="11" fillId="8" borderId="0"/>
    <xf numFmtId="0" fontId="40" fillId="8" borderId="0"/>
    <xf numFmtId="0" fontId="40" fillId="8" borderId="0"/>
    <xf numFmtId="0" fontId="40" fillId="9" borderId="0"/>
    <xf numFmtId="0" fontId="11" fillId="9" borderId="0"/>
    <xf numFmtId="0" fontId="40" fillId="9" borderId="0"/>
    <xf numFmtId="0" fontId="11" fillId="9" borderId="0"/>
    <xf numFmtId="0" fontId="40" fillId="9" borderId="0"/>
    <xf numFmtId="0" fontId="40" fillId="9" borderId="0"/>
    <xf numFmtId="0" fontId="40" fillId="9" borderId="0"/>
    <xf numFmtId="0" fontId="11" fillId="9" borderId="0"/>
    <xf numFmtId="0" fontId="40" fillId="9" borderId="0"/>
    <xf numFmtId="0" fontId="40" fillId="9" borderId="0"/>
    <xf numFmtId="0" fontId="40" fillId="10" borderId="0"/>
    <xf numFmtId="0" fontId="11" fillId="10" borderId="0"/>
    <xf numFmtId="0" fontId="40" fillId="10" borderId="0"/>
    <xf numFmtId="0" fontId="11" fillId="10" borderId="0"/>
    <xf numFmtId="0" fontId="40" fillId="10" borderId="0"/>
    <xf numFmtId="0" fontId="40" fillId="10" borderId="0"/>
    <xf numFmtId="0" fontId="40" fillId="10" borderId="0"/>
    <xf numFmtId="0" fontId="11" fillId="10" borderId="0"/>
    <xf numFmtId="0" fontId="40" fillId="10" borderId="0"/>
    <xf numFmtId="0" fontId="40" fillId="10" borderId="0"/>
    <xf numFmtId="0" fontId="40" fillId="11" borderId="0"/>
    <xf numFmtId="0" fontId="11" fillId="11" borderId="0"/>
    <xf numFmtId="0" fontId="40" fillId="11" borderId="0"/>
    <xf numFmtId="0" fontId="11" fillId="11" borderId="0"/>
    <xf numFmtId="0" fontId="40" fillId="11" borderId="0"/>
    <xf numFmtId="0" fontId="40" fillId="11" borderId="0"/>
    <xf numFmtId="0" fontId="40" fillId="11" borderId="0"/>
    <xf numFmtId="0" fontId="11" fillId="11" borderId="0"/>
    <xf numFmtId="0" fontId="40" fillId="11" borderId="0"/>
    <xf numFmtId="0" fontId="40" fillId="11" borderId="0"/>
    <xf numFmtId="0" fontId="40" fillId="12" borderId="0"/>
    <xf numFmtId="0" fontId="11" fillId="12" borderId="0"/>
    <xf numFmtId="0" fontId="40" fillId="12" borderId="0"/>
    <xf numFmtId="0" fontId="11" fillId="12" borderId="0"/>
    <xf numFmtId="0" fontId="40" fillId="12" borderId="0"/>
    <xf numFmtId="0" fontId="40" fillId="12" borderId="0"/>
    <xf numFmtId="0" fontId="40" fillId="12" borderId="0"/>
    <xf numFmtId="0" fontId="11" fillId="12" borderId="0"/>
    <xf numFmtId="0" fontId="40" fillId="12" borderId="0"/>
    <xf numFmtId="0" fontId="40" fillId="12" borderId="0"/>
    <xf numFmtId="0" fontId="40" fillId="13" borderId="0"/>
    <xf numFmtId="0" fontId="11" fillId="13" borderId="0"/>
    <xf numFmtId="0" fontId="40" fillId="13" borderId="0"/>
    <xf numFmtId="0" fontId="11" fillId="13" borderId="0"/>
    <xf numFmtId="0" fontId="40" fillId="13" borderId="0"/>
    <xf numFmtId="0" fontId="40" fillId="13" borderId="0"/>
    <xf numFmtId="0" fontId="40" fillId="13" borderId="0"/>
    <xf numFmtId="0" fontId="11" fillId="13" borderId="0"/>
    <xf numFmtId="0" fontId="40" fillId="13" borderId="0"/>
    <xf numFmtId="0" fontId="40" fillId="13" borderId="0"/>
    <xf numFmtId="0" fontId="42" fillId="14" borderId="0"/>
    <xf numFmtId="0" fontId="12" fillId="14" borderId="0"/>
    <xf numFmtId="0" fontId="42" fillId="14" borderId="0"/>
    <xf numFmtId="0" fontId="12" fillId="14" borderId="0"/>
    <xf numFmtId="0" fontId="42" fillId="14" borderId="0"/>
    <xf numFmtId="0" fontId="42" fillId="14" borderId="0"/>
    <xf numFmtId="0" fontId="42" fillId="14" borderId="0"/>
    <xf numFmtId="0" fontId="12" fillId="14" borderId="0"/>
    <xf numFmtId="0" fontId="42" fillId="14" borderId="0"/>
    <xf numFmtId="0" fontId="42" fillId="14" borderId="0"/>
    <xf numFmtId="0" fontId="42" fillId="15" borderId="0"/>
    <xf numFmtId="0" fontId="12" fillId="15" borderId="0"/>
    <xf numFmtId="0" fontId="42" fillId="15" borderId="0"/>
    <xf numFmtId="0" fontId="12" fillId="15" borderId="0"/>
    <xf numFmtId="0" fontId="42" fillId="15" borderId="0"/>
    <xf numFmtId="0" fontId="42" fillId="15" borderId="0"/>
    <xf numFmtId="0" fontId="42" fillId="15" borderId="0"/>
    <xf numFmtId="0" fontId="12" fillId="15" borderId="0"/>
    <xf numFmtId="0" fontId="42" fillId="15" borderId="0"/>
    <xf numFmtId="0" fontId="42" fillId="15" borderId="0"/>
    <xf numFmtId="0" fontId="42" fillId="16" borderId="0"/>
    <xf numFmtId="0" fontId="12" fillId="16" borderId="0"/>
    <xf numFmtId="0" fontId="42" fillId="16" borderId="0"/>
    <xf numFmtId="0" fontId="12" fillId="16" borderId="0"/>
    <xf numFmtId="0" fontId="42" fillId="16" borderId="0"/>
    <xf numFmtId="0" fontId="42" fillId="16" borderId="0"/>
    <xf numFmtId="0" fontId="42" fillId="16" borderId="0"/>
    <xf numFmtId="0" fontId="12" fillId="16" borderId="0"/>
    <xf numFmtId="0" fontId="42" fillId="16" borderId="0"/>
    <xf numFmtId="0" fontId="42" fillId="16" borderId="0"/>
    <xf numFmtId="0" fontId="42" fillId="17" borderId="0"/>
    <xf numFmtId="0" fontId="12" fillId="17" borderId="0"/>
    <xf numFmtId="0" fontId="42" fillId="17" borderId="0"/>
    <xf numFmtId="0" fontId="12" fillId="17" borderId="0"/>
    <xf numFmtId="0" fontId="42" fillId="17" borderId="0"/>
    <xf numFmtId="0" fontId="42" fillId="17" borderId="0"/>
    <xf numFmtId="0" fontId="42" fillId="17" borderId="0"/>
    <xf numFmtId="0" fontId="12" fillId="17" borderId="0"/>
    <xf numFmtId="0" fontId="42" fillId="17" borderId="0"/>
    <xf numFmtId="0" fontId="42" fillId="17" borderId="0"/>
    <xf numFmtId="0" fontId="42" fillId="18" borderId="0"/>
    <xf numFmtId="0" fontId="12" fillId="18" borderId="0"/>
    <xf numFmtId="0" fontId="42" fillId="18" borderId="0"/>
    <xf numFmtId="0" fontId="12" fillId="18" borderId="0"/>
    <xf numFmtId="0" fontId="42" fillId="18" borderId="0"/>
    <xf numFmtId="0" fontId="42" fillId="18" borderId="0"/>
    <xf numFmtId="0" fontId="42" fillId="18" borderId="0"/>
    <xf numFmtId="0" fontId="12" fillId="18" borderId="0"/>
    <xf numFmtId="0" fontId="42" fillId="18" borderId="0"/>
    <xf numFmtId="0" fontId="42" fillId="18" borderId="0"/>
    <xf numFmtId="0" fontId="42" fillId="19" borderId="0"/>
    <xf numFmtId="0" fontId="12" fillId="19" borderId="0"/>
    <xf numFmtId="0" fontId="42" fillId="19" borderId="0"/>
    <xf numFmtId="0" fontId="12" fillId="19" borderId="0"/>
    <xf numFmtId="0" fontId="42" fillId="19" borderId="0"/>
    <xf numFmtId="0" fontId="42" fillId="19" borderId="0"/>
    <xf numFmtId="0" fontId="42" fillId="19" borderId="0"/>
    <xf numFmtId="0" fontId="12" fillId="19" borderId="0"/>
    <xf numFmtId="0" fontId="42" fillId="19" borderId="0"/>
    <xf numFmtId="0" fontId="42" fillId="19" borderId="0"/>
    <xf numFmtId="0" fontId="11" fillId="0" borderId="0"/>
    <xf numFmtId="0" fontId="40" fillId="0" borderId="0"/>
    <xf numFmtId="0" fontId="6" fillId="0" borderId="0" applyAlignment="1">
      <alignment vertical="center"/>
    </xf>
    <xf numFmtId="0" fontId="40" fillId="0" borderId="0"/>
    <xf numFmtId="0" fontId="6" fillId="0" borderId="0" applyAlignment="1">
      <alignment vertical="center"/>
    </xf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 applyAlignment="1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11" fillId="0" borderId="0" applyAlignment="1">
      <alignment vertical="center"/>
    </xf>
    <xf numFmtId="0" fontId="40" fillId="0" borderId="0" applyAlignment="1">
      <alignment vertical="center"/>
    </xf>
    <xf numFmtId="0" fontId="6" fillId="0" borderId="0" applyAlignment="1">
      <alignment vertical="center"/>
    </xf>
    <xf numFmtId="0" fontId="40" fillId="0" borderId="0" applyAlignment="1">
      <alignment vertical="center"/>
    </xf>
    <xf numFmtId="0" fontId="6" fillId="0" borderId="0" applyAlignment="1">
      <alignment vertical="center"/>
    </xf>
    <xf numFmtId="0" fontId="11" fillId="0" borderId="0"/>
    <xf numFmtId="0" fontId="40" fillId="0" borderId="0"/>
    <xf numFmtId="0" fontId="40" fillId="0" borderId="0"/>
    <xf numFmtId="0" fontId="40" fillId="0" borderId="0" applyAlignment="1">
      <alignment vertical="center"/>
    </xf>
    <xf numFmtId="0" fontId="11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11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9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9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9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9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9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9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9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9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9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2" fillId="21" borderId="0"/>
    <xf numFmtId="0" fontId="12" fillId="21" borderId="0"/>
    <xf numFmtId="0" fontId="42" fillId="21" borderId="0"/>
    <xf numFmtId="0" fontId="12" fillId="21" borderId="0"/>
    <xf numFmtId="0" fontId="42" fillId="21" borderId="0"/>
    <xf numFmtId="0" fontId="42" fillId="21" borderId="0"/>
    <xf numFmtId="0" fontId="42" fillId="21" borderId="0"/>
    <xf numFmtId="0" fontId="12" fillId="21" borderId="0"/>
    <xf numFmtId="0" fontId="42" fillId="21" borderId="0"/>
    <xf numFmtId="0" fontId="42" fillId="21" borderId="0"/>
    <xf numFmtId="0" fontId="42" fillId="22" borderId="0"/>
    <xf numFmtId="0" fontId="12" fillId="22" borderId="0"/>
    <xf numFmtId="0" fontId="42" fillId="22" borderId="0"/>
    <xf numFmtId="0" fontId="12" fillId="22" borderId="0"/>
    <xf numFmtId="0" fontId="42" fillId="22" borderId="0"/>
    <xf numFmtId="0" fontId="42" fillId="22" borderId="0"/>
    <xf numFmtId="0" fontId="42" fillId="22" borderId="0"/>
    <xf numFmtId="0" fontId="12" fillId="22" borderId="0"/>
    <xf numFmtId="0" fontId="42" fillId="22" borderId="0"/>
    <xf numFmtId="0" fontId="42" fillId="22" borderId="0"/>
    <xf numFmtId="0" fontId="42" fillId="23" borderId="0"/>
    <xf numFmtId="0" fontId="12" fillId="23" borderId="0"/>
    <xf numFmtId="0" fontId="42" fillId="23" borderId="0"/>
    <xf numFmtId="0" fontId="12" fillId="23" borderId="0"/>
    <xf numFmtId="0" fontId="42" fillId="23" borderId="0"/>
    <xf numFmtId="0" fontId="42" fillId="23" borderId="0"/>
    <xf numFmtId="0" fontId="42" fillId="23" borderId="0"/>
    <xf numFmtId="0" fontId="12" fillId="23" borderId="0"/>
    <xf numFmtId="0" fontId="42" fillId="23" borderId="0"/>
    <xf numFmtId="0" fontId="42" fillId="23" borderId="0"/>
    <xf numFmtId="0" fontId="42" fillId="24" borderId="0"/>
    <xf numFmtId="0" fontId="12" fillId="24" borderId="0"/>
    <xf numFmtId="0" fontId="42" fillId="24" borderId="0"/>
    <xf numFmtId="0" fontId="12" fillId="24" borderId="0"/>
    <xf numFmtId="0" fontId="42" fillId="24" borderId="0"/>
    <xf numFmtId="0" fontId="42" fillId="24" borderId="0"/>
    <xf numFmtId="0" fontId="42" fillId="24" borderId="0"/>
    <xf numFmtId="0" fontId="12" fillId="24" borderId="0"/>
    <xf numFmtId="0" fontId="42" fillId="24" borderId="0"/>
    <xf numFmtId="0" fontId="42" fillId="24" borderId="0"/>
    <xf numFmtId="0" fontId="42" fillId="25" borderId="0"/>
    <xf numFmtId="0" fontId="12" fillId="25" borderId="0"/>
    <xf numFmtId="0" fontId="42" fillId="25" borderId="0"/>
    <xf numFmtId="0" fontId="12" fillId="25" borderId="0"/>
    <xf numFmtId="0" fontId="42" fillId="25" borderId="0"/>
    <xf numFmtId="0" fontId="42" fillId="25" borderId="0"/>
    <xf numFmtId="0" fontId="42" fillId="25" borderId="0"/>
    <xf numFmtId="0" fontId="12" fillId="25" borderId="0"/>
    <xf numFmtId="0" fontId="42" fillId="25" borderId="0"/>
    <xf numFmtId="0" fontId="42" fillId="25" borderId="0"/>
    <xf numFmtId="0" fontId="42" fillId="26" borderId="0"/>
    <xf numFmtId="0" fontId="12" fillId="26" borderId="0"/>
    <xf numFmtId="0" fontId="42" fillId="26" borderId="0"/>
    <xf numFmtId="0" fontId="12" fillId="26" borderId="0"/>
    <xf numFmtId="0" fontId="42" fillId="26" borderId="0"/>
    <xf numFmtId="0" fontId="42" fillId="26" borderId="0"/>
    <xf numFmtId="0" fontId="42" fillId="26" borderId="0"/>
    <xf numFmtId="0" fontId="12" fillId="26" borderId="0"/>
    <xf numFmtId="0" fontId="42" fillId="26" borderId="0"/>
    <xf numFmtId="0" fontId="42" fillId="26" borderId="0"/>
    <xf numFmtId="0" fontId="43" fillId="0" borderId="0"/>
    <xf numFmtId="0" fontId="13" fillId="0" borderId="0"/>
    <xf numFmtId="0" fontId="43" fillId="0" borderId="0"/>
    <xf numFmtId="0" fontId="13" fillId="0" borderId="0"/>
    <xf numFmtId="0" fontId="43" fillId="0" borderId="0"/>
    <xf numFmtId="0" fontId="43" fillId="0" borderId="0"/>
    <xf numFmtId="0" fontId="43" fillId="0" borderId="0"/>
    <xf numFmtId="0" fontId="13" fillId="0" borderId="0"/>
    <xf numFmtId="0" fontId="43" fillId="0" borderId="0"/>
    <xf numFmtId="0" fontId="43" fillId="0" borderId="0"/>
    <xf numFmtId="0" fontId="44" fillId="27" borderId="14"/>
    <xf numFmtId="0" fontId="14" fillId="27" borderId="14"/>
    <xf numFmtId="0" fontId="44" fillId="27" borderId="14"/>
    <xf numFmtId="0" fontId="14" fillId="27" borderId="14"/>
    <xf numFmtId="0" fontId="44" fillId="27" borderId="14"/>
    <xf numFmtId="0" fontId="44" fillId="27" borderId="14"/>
    <xf numFmtId="0" fontId="44" fillId="27" borderId="14"/>
    <xf numFmtId="0" fontId="14" fillId="27" borderId="14"/>
    <xf numFmtId="0" fontId="44" fillId="27" borderId="14"/>
    <xf numFmtId="0" fontId="44" fillId="27" borderId="14"/>
    <xf numFmtId="0" fontId="45" fillId="28" borderId="0"/>
    <xf numFmtId="0" fontId="15" fillId="28" borderId="0"/>
    <xf numFmtId="0" fontId="45" fillId="28" borderId="0"/>
    <xf numFmtId="0" fontId="15" fillId="28" borderId="0"/>
    <xf numFmtId="0" fontId="45" fillId="28" borderId="0"/>
    <xf numFmtId="0" fontId="45" fillId="28" borderId="0"/>
    <xf numFmtId="0" fontId="45" fillId="28" borderId="0"/>
    <xf numFmtId="0" fontId="15" fillId="28" borderId="0"/>
    <xf numFmtId="0" fontId="45" fillId="28" borderId="0"/>
    <xf numFmtId="0" fontId="45" fillId="28" borderId="0"/>
    <xf numFmtId="0" fontId="46" fillId="29" borderId="0"/>
    <xf numFmtId="0" fontId="16" fillId="29" borderId="0"/>
    <xf numFmtId="0" fontId="46" fillId="29" borderId="0"/>
    <xf numFmtId="0" fontId="16" fillId="29" borderId="0"/>
    <xf numFmtId="0" fontId="46" fillId="29" borderId="0"/>
    <xf numFmtId="0" fontId="46" fillId="29" borderId="0"/>
    <xf numFmtId="0" fontId="46" fillId="29" borderId="0"/>
    <xf numFmtId="0" fontId="16" fillId="29" borderId="0"/>
    <xf numFmtId="0" fontId="46" fillId="29" borderId="0"/>
    <xf numFmtId="0" fontId="46" fillId="29" borderId="0"/>
    <xf numFmtId="0" fontId="47" fillId="0" borderId="0"/>
    <xf numFmtId="0" fontId="17" fillId="0" borderId="0"/>
    <xf numFmtId="0" fontId="47" fillId="0" borderId="0"/>
    <xf numFmtId="0" fontId="17" fillId="0" borderId="0"/>
    <xf numFmtId="0" fontId="47" fillId="0" borderId="0"/>
    <xf numFmtId="0" fontId="47" fillId="0" borderId="0"/>
    <xf numFmtId="0" fontId="47" fillId="0" borderId="0"/>
    <xf numFmtId="0" fontId="17" fillId="0" borderId="0"/>
    <xf numFmtId="0" fontId="47" fillId="0" borderId="0"/>
    <xf numFmtId="0" fontId="47" fillId="0" borderId="0"/>
    <xf numFmtId="0" fontId="48" fillId="30" borderId="15"/>
    <xf numFmtId="0" fontId="18" fillId="30" borderId="15"/>
    <xf numFmtId="0" fontId="48" fillId="30" borderId="15"/>
    <xf numFmtId="0" fontId="18" fillId="30" borderId="15"/>
    <xf numFmtId="0" fontId="48" fillId="30" borderId="15"/>
    <xf numFmtId="0" fontId="48" fillId="30" borderId="15"/>
    <xf numFmtId="0" fontId="48" fillId="30" borderId="15"/>
    <xf numFmtId="0" fontId="18" fillId="30" borderId="15"/>
    <xf numFmtId="0" fontId="48" fillId="30" borderId="15"/>
    <xf numFmtId="0" fontId="48" fillId="30" borderId="15"/>
    <xf numFmtId="0" fontId="49" fillId="0" borderId="16"/>
    <xf numFmtId="0" fontId="19" fillId="0" borderId="16"/>
    <xf numFmtId="0" fontId="49" fillId="0" borderId="16"/>
    <xf numFmtId="0" fontId="19" fillId="0" borderId="16"/>
    <xf numFmtId="0" fontId="49" fillId="0" borderId="16"/>
    <xf numFmtId="0" fontId="49" fillId="0" borderId="16"/>
    <xf numFmtId="0" fontId="49" fillId="0" borderId="16"/>
    <xf numFmtId="0" fontId="19" fillId="0" borderId="16"/>
    <xf numFmtId="0" fontId="49" fillId="0" borderId="16"/>
    <xf numFmtId="0" fontId="49" fillId="0" borderId="16"/>
    <xf numFmtId="0" fontId="50" fillId="0" borderId="17"/>
    <xf numFmtId="0" fontId="20" fillId="0" borderId="17"/>
    <xf numFmtId="0" fontId="50" fillId="0" borderId="17"/>
    <xf numFmtId="0" fontId="20" fillId="0" borderId="17"/>
    <xf numFmtId="0" fontId="50" fillId="0" borderId="17"/>
    <xf numFmtId="0" fontId="50" fillId="0" borderId="17"/>
    <xf numFmtId="0" fontId="50" fillId="0" borderId="17"/>
    <xf numFmtId="0" fontId="20" fillId="0" borderId="17"/>
    <xf numFmtId="0" fontId="50" fillId="0" borderId="17"/>
    <xf numFmtId="0" fontId="50" fillId="0" borderId="17"/>
    <xf numFmtId="0" fontId="51" fillId="31" borderId="14"/>
    <xf numFmtId="0" fontId="21" fillId="31" borderId="14"/>
    <xf numFmtId="0" fontId="51" fillId="31" borderId="14"/>
    <xf numFmtId="0" fontId="21" fillId="31" borderId="14"/>
    <xf numFmtId="0" fontId="51" fillId="31" borderId="14"/>
    <xf numFmtId="0" fontId="51" fillId="31" borderId="14"/>
    <xf numFmtId="0" fontId="51" fillId="31" borderId="14"/>
    <xf numFmtId="0" fontId="21" fillId="31" borderId="14"/>
    <xf numFmtId="0" fontId="51" fillId="31" borderId="14"/>
    <xf numFmtId="0" fontId="51" fillId="31" borderId="14"/>
    <xf numFmtId="0" fontId="52" fillId="0" borderId="18"/>
    <xf numFmtId="0" fontId="23" fillId="0" borderId="18"/>
    <xf numFmtId="0" fontId="52" fillId="0" borderId="18"/>
    <xf numFmtId="0" fontId="23" fillId="0" borderId="18"/>
    <xf numFmtId="0" fontId="52" fillId="0" borderId="18"/>
    <xf numFmtId="0" fontId="52" fillId="0" borderId="18"/>
    <xf numFmtId="0" fontId="52" fillId="0" borderId="18"/>
    <xf numFmtId="0" fontId="23" fillId="0" borderId="18"/>
    <xf numFmtId="0" fontId="52" fillId="0" borderId="18"/>
    <xf numFmtId="0" fontId="52" fillId="0" borderId="18"/>
    <xf numFmtId="0" fontId="53" fillId="0" borderId="19"/>
    <xf numFmtId="0" fontId="24" fillId="0" borderId="19"/>
    <xf numFmtId="0" fontId="53" fillId="0" borderId="19"/>
    <xf numFmtId="0" fontId="24" fillId="0" borderId="19"/>
    <xf numFmtId="0" fontId="53" fillId="0" borderId="19"/>
    <xf numFmtId="0" fontId="53" fillId="0" borderId="19"/>
    <xf numFmtId="0" fontId="53" fillId="0" borderId="19"/>
    <xf numFmtId="0" fontId="24" fillId="0" borderId="19"/>
    <xf numFmtId="0" fontId="53" fillId="0" borderId="19"/>
    <xf numFmtId="0" fontId="53" fillId="0" borderId="19"/>
    <xf numFmtId="0" fontId="54" fillId="0" borderId="20"/>
    <xf numFmtId="0" fontId="25" fillId="0" borderId="20"/>
    <xf numFmtId="0" fontId="54" fillId="0" borderId="20"/>
    <xf numFmtId="0" fontId="25" fillId="0" borderId="20"/>
    <xf numFmtId="0" fontId="54" fillId="0" borderId="20"/>
    <xf numFmtId="0" fontId="54" fillId="0" borderId="20"/>
    <xf numFmtId="0" fontId="54" fillId="0" borderId="20"/>
    <xf numFmtId="0" fontId="25" fillId="0" borderId="20"/>
    <xf numFmtId="0" fontId="54" fillId="0" borderId="20"/>
    <xf numFmtId="0" fontId="54" fillId="0" borderId="20"/>
    <xf numFmtId="0" fontId="54" fillId="0" borderId="0"/>
    <xf numFmtId="0" fontId="25" fillId="0" borderId="0"/>
    <xf numFmtId="0" fontId="54" fillId="0" borderId="0"/>
    <xf numFmtId="0" fontId="25" fillId="0" borderId="0"/>
    <xf numFmtId="0" fontId="54" fillId="0" borderId="0"/>
    <xf numFmtId="0" fontId="54" fillId="0" borderId="0"/>
    <xf numFmtId="0" fontId="54" fillId="0" borderId="0"/>
    <xf numFmtId="0" fontId="25" fillId="0" borderId="0"/>
    <xf numFmtId="0" fontId="54" fillId="0" borderId="0"/>
    <xf numFmtId="0" fontId="54" fillId="0" borderId="0"/>
    <xf numFmtId="0" fontId="55" fillId="0" borderId="0"/>
    <xf numFmtId="0" fontId="22" fillId="0" borderId="0"/>
    <xf numFmtId="0" fontId="55" fillId="0" borderId="0"/>
    <xf numFmtId="0" fontId="22" fillId="0" borderId="0"/>
    <xf numFmtId="0" fontId="55" fillId="0" borderId="0"/>
    <xf numFmtId="0" fontId="55" fillId="0" borderId="0"/>
    <xf numFmtId="0" fontId="55" fillId="0" borderId="0"/>
    <xf numFmtId="0" fontId="22" fillId="0" borderId="0"/>
    <xf numFmtId="0" fontId="55" fillId="0" borderId="0"/>
    <xf numFmtId="0" fontId="55" fillId="0" borderId="0"/>
    <xf numFmtId="0" fontId="56" fillId="32" borderId="0"/>
    <xf numFmtId="0" fontId="26" fillId="32" borderId="0"/>
    <xf numFmtId="0" fontId="56" fillId="32" borderId="0"/>
    <xf numFmtId="0" fontId="26" fillId="32" borderId="0"/>
    <xf numFmtId="0" fontId="56" fillId="32" borderId="0"/>
    <xf numFmtId="0" fontId="56" fillId="32" borderId="0"/>
    <xf numFmtId="0" fontId="56" fillId="32" borderId="0"/>
    <xf numFmtId="0" fontId="26" fillId="32" borderId="0"/>
    <xf numFmtId="0" fontId="56" fillId="32" borderId="0"/>
    <xf numFmtId="0" fontId="56" fillId="32" borderId="0"/>
    <xf numFmtId="0" fontId="57" fillId="27" borderId="21"/>
    <xf numFmtId="0" fontId="27" fillId="27" borderId="21"/>
    <xf numFmtId="0" fontId="57" fillId="27" borderId="21"/>
    <xf numFmtId="0" fontId="27" fillId="27" borderId="21"/>
    <xf numFmtId="0" fontId="57" fillId="27" borderId="21"/>
    <xf numFmtId="0" fontId="57" fillId="27" borderId="21"/>
    <xf numFmtId="0" fontId="57" fillId="27" borderId="21"/>
    <xf numFmtId="0" fontId="27" fillId="27" borderId="21"/>
    <xf numFmtId="0" fontId="57" fillId="27" borderId="21"/>
    <xf numFmtId="0" fontId="57" fillId="27" borderId="21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7" fillId="0" borderId="0"/>
    <xf numFmtId="0" fontId="6" fillId="0" borderId="0" applyAlignment="1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 applyAlignment="1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6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 applyAlignment="1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 applyAlignment="1">
      <alignment vertical="center"/>
    </xf>
    <xf numFmtId="0" fontId="40" fillId="0" borderId="0" applyAlignment="1">
      <alignment vertical="center"/>
    </xf>
    <xf numFmtId="0" fontId="40" fillId="0" borderId="0"/>
    <xf numFmtId="0" fontId="40" fillId="0" borderId="0" applyAlignment="1">
      <alignment vertical="center"/>
    </xf>
    <xf numFmtId="0" fontId="40" fillId="0" borderId="0"/>
    <xf numFmtId="0" fontId="40" fillId="0" borderId="0"/>
    <xf numFmtId="0" fontId="40" fillId="0" borderId="0" applyAlignment="1">
      <alignment vertical="center"/>
    </xf>
    <xf numFmtId="0" fontId="40" fillId="0" borderId="0"/>
    <xf numFmtId="0" fontId="40" fillId="0" borderId="0" applyAlignment="1">
      <alignment vertical="center"/>
    </xf>
    <xf numFmtId="0" fontId="40" fillId="0" borderId="0"/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11" fillId="0" borderId="0"/>
    <xf numFmtId="0" fontId="40" fillId="0" borderId="0"/>
    <xf numFmtId="0" fontId="6" fillId="0" borderId="0" applyAlignment="1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 applyAlignment="1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11" fillId="0" borderId="0" applyAlignment="1">
      <alignment vertical="center"/>
    </xf>
    <xf numFmtId="0" fontId="40" fillId="0" borderId="0" applyAlignment="1">
      <alignment vertical="center"/>
    </xf>
    <xf numFmtId="0" fontId="6" fillId="0" borderId="0" applyAlignment="1">
      <alignment vertical="center"/>
    </xf>
    <xf numFmtId="0" fontId="40" fillId="0" borderId="0" applyAlignment="1">
      <alignment vertical="center"/>
    </xf>
    <xf numFmtId="0" fontId="11" fillId="0" borderId="0"/>
    <xf numFmtId="0" fontId="11" fillId="0" borderId="0" applyAlignment="1">
      <alignment vertical="center"/>
    </xf>
    <xf numFmtId="0" fontId="40" fillId="0" borderId="0" applyAlignment="1">
      <alignment vertical="center"/>
    </xf>
    <xf numFmtId="0" fontId="40" fillId="0" borderId="0"/>
    <xf numFmtId="0" fontId="11" fillId="0" borderId="0" applyAlignment="1">
      <alignment vertical="center"/>
    </xf>
    <xf numFmtId="0" fontId="40" fillId="0" borderId="0" applyAlignment="1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11" fillId="0" borderId="0" applyAlignment="1">
      <alignment vertical="center"/>
    </xf>
    <xf numFmtId="0" fontId="40" fillId="0" borderId="0" applyAlignment="1">
      <alignment vertical="center"/>
    </xf>
    <xf numFmtId="0" fontId="6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6" fillId="0" borderId="0" applyAlignment="1">
      <alignment vertical="center"/>
    </xf>
    <xf numFmtId="0" fontId="1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 applyAlignment="1">
      <alignment vertical="center"/>
    </xf>
    <xf numFmtId="0" fontId="40" fillId="0" borderId="0" applyAlignment="1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6" fillId="0" borderId="0" applyAlignment="1">
      <alignment vertical="center"/>
    </xf>
    <xf numFmtId="0" fontId="1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 applyAlignment="1">
      <alignment vertical="center"/>
    </xf>
    <xf numFmtId="0" fontId="40" fillId="0" borderId="0" applyAlignment="1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 applyAlignment="1">
      <alignment vertical="center"/>
    </xf>
    <xf numFmtId="0" fontId="40" fillId="0" borderId="0"/>
    <xf numFmtId="0" fontId="40" fillId="0" borderId="0" applyAlignment="1">
      <alignment vertical="center"/>
    </xf>
    <xf numFmtId="0" fontId="40" fillId="0" borderId="0"/>
    <xf numFmtId="0" fontId="11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/>
    <xf numFmtId="0" fontId="40" fillId="0" borderId="0" applyAlignment="1">
      <alignment vertical="center"/>
    </xf>
    <xf numFmtId="0" fontId="40" fillId="0" borderId="0"/>
    <xf numFmtId="0" fontId="40" fillId="0" borderId="0"/>
    <xf numFmtId="0" fontId="6" fillId="0" borderId="0" applyAlignment="1">
      <alignment vertical="center"/>
    </xf>
    <xf numFmtId="0" fontId="40" fillId="0" borderId="0" applyAlignment="1">
      <alignment vertical="center"/>
    </xf>
    <xf numFmtId="0" fontId="40" fillId="0" borderId="0"/>
    <xf numFmtId="0" fontId="40" fillId="0" borderId="0"/>
    <xf numFmtId="0" fontId="11" fillId="0" borderId="0" applyAlignment="1">
      <alignment vertical="center"/>
    </xf>
    <xf numFmtId="0" fontId="40" fillId="0" borderId="0" applyAlignment="1">
      <alignment vertical="center"/>
    </xf>
    <xf numFmtId="0" fontId="6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1" fillId="0" borderId="0" applyAlignment="1">
      <alignment vertical="center"/>
    </xf>
    <xf numFmtId="0" fontId="40" fillId="0" borderId="0" applyAlignment="1">
      <alignment vertical="center"/>
    </xf>
    <xf numFmtId="0" fontId="11" fillId="0" borderId="0"/>
    <xf numFmtId="0" fontId="40" fillId="0" borderId="0"/>
    <xf numFmtId="0" fontId="40" fillId="0" borderId="0" applyAlignment="1">
      <alignment vertical="center"/>
    </xf>
    <xf numFmtId="0" fontId="11" fillId="0" borderId="0"/>
    <xf numFmtId="0" fontId="40" fillId="0" borderId="0"/>
    <xf numFmtId="0" fontId="40" fillId="0" borderId="0"/>
    <xf numFmtId="0" fontId="40" fillId="0" borderId="0" applyAlignment="1">
      <alignment vertical="center"/>
    </xf>
    <xf numFmtId="0" fontId="40" fillId="0" borderId="0"/>
    <xf numFmtId="0" fontId="40" fillId="0" borderId="0" applyAlignment="1">
      <alignment vertical="center"/>
    </xf>
    <xf numFmtId="0" fontId="40" fillId="0" borderId="0"/>
    <xf numFmtId="0" fontId="40" fillId="0" borderId="0" applyAlignment="1">
      <alignment vertical="center"/>
    </xf>
    <xf numFmtId="0" fontId="40" fillId="0" borderId="0"/>
    <xf numFmtId="0" fontId="11" fillId="0" borderId="0"/>
    <xf numFmtId="0" fontId="40" fillId="0" borderId="0"/>
    <xf numFmtId="0" fontId="40" fillId="0" borderId="0" applyAlignment="1">
      <alignment vertical="center"/>
    </xf>
    <xf numFmtId="0" fontId="40" fillId="0" borderId="0"/>
    <xf numFmtId="0" fontId="40" fillId="0" borderId="0"/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 applyAlignment="1">
      <alignment vertical="center"/>
    </xf>
    <xf numFmtId="0" fontId="40" fillId="0" borderId="0" applyAlignment="1">
      <alignment vertical="center"/>
    </xf>
    <xf numFmtId="0" fontId="6" fillId="0" borderId="0" applyAlignment="1">
      <alignment vertical="center"/>
    </xf>
    <xf numFmtId="0" fontId="40" fillId="0" borderId="0"/>
    <xf numFmtId="0" fontId="40" fillId="0" borderId="0" applyAlignment="1">
      <alignment vertical="center"/>
    </xf>
    <xf numFmtId="0" fontId="11" fillId="0" borderId="0"/>
    <xf numFmtId="0" fontId="40" fillId="0" borderId="0"/>
    <xf numFmtId="0" fontId="11" fillId="0" borderId="0" applyAlignment="1">
      <alignment vertical="center"/>
    </xf>
    <xf numFmtId="0" fontId="40" fillId="0" borderId="0" applyAlignment="1">
      <alignment vertical="center"/>
    </xf>
    <xf numFmtId="0" fontId="40" fillId="0" borderId="0"/>
    <xf numFmtId="0" fontId="11" fillId="0" borderId="0" applyAlignment="1">
      <alignment vertical="center"/>
    </xf>
    <xf numFmtId="0" fontId="40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11" fillId="0" borderId="0"/>
    <xf numFmtId="0" fontId="40" fillId="0" borderId="0"/>
    <xf numFmtId="0" fontId="40" fillId="0" borderId="0" applyAlignment="1">
      <alignment vertical="center"/>
    </xf>
    <xf numFmtId="0" fontId="40" fillId="0" borderId="0"/>
    <xf numFmtId="0" fontId="40" fillId="0" borderId="0"/>
    <xf numFmtId="0" fontId="11" fillId="0" borderId="0" applyAlignment="1">
      <alignment vertical="center"/>
    </xf>
    <xf numFmtId="0" fontId="11" fillId="0" borderId="0"/>
    <xf numFmtId="0" fontId="40" fillId="0" borderId="0"/>
    <xf numFmtId="0" fontId="11" fillId="0" borderId="0" applyAlignment="1">
      <alignment vertical="center"/>
    </xf>
    <xf numFmtId="0" fontId="40" fillId="0" borderId="0" applyAlignment="1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11" fillId="0" borderId="0" applyAlignment="1">
      <alignment vertical="center"/>
    </xf>
    <xf numFmtId="0" fontId="40" fillId="0" borderId="0" applyAlignment="1">
      <alignment vertical="center"/>
    </xf>
    <xf numFmtId="0" fontId="11" fillId="0" borderId="0"/>
    <xf numFmtId="0" fontId="40" fillId="0" borderId="0"/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20" borderId="13"/>
    <xf numFmtId="0" fontId="11" fillId="20" borderId="13"/>
    <xf numFmtId="0" fontId="11" fillId="20" borderId="13"/>
    <xf numFmtId="0" fontId="11" fillId="20" borderId="13"/>
    <xf numFmtId="0" fontId="11" fillId="20" borderId="13"/>
    <xf numFmtId="0" fontId="11" fillId="20" borderId="13"/>
    <xf numFmtId="43" fontId="6" fillId="0" borderId="0" applyAlignment="1">
      <alignment vertical="center"/>
    </xf>
    <xf numFmtId="43" fontId="6" fillId="0" borderId="0" applyAlignment="1">
      <alignment vertical="center"/>
    </xf>
    <xf numFmtId="43" fontId="6" fillId="0" borderId="0" applyAlignment="1">
      <alignment vertical="center"/>
    </xf>
    <xf numFmtId="43" fontId="6" fillId="0" borderId="0" applyAlignment="1">
      <alignment vertical="center"/>
    </xf>
    <xf numFmtId="43" fontId="6" fillId="0" borderId="0" applyAlignment="1">
      <alignment vertical="center"/>
    </xf>
    <xf numFmtId="43" fontId="6" fillId="0" borderId="0" applyAlignment="1">
      <alignment vertical="center"/>
    </xf>
    <xf numFmtId="43" fontId="6" fillId="0" borderId="0" applyAlignment="1">
      <alignment vertical="center"/>
    </xf>
    <xf numFmtId="43" fontId="6" fillId="0" borderId="0" applyAlignment="1">
      <alignment vertical="center"/>
    </xf>
    <xf numFmtId="43" fontId="6" fillId="0" borderId="0" applyAlignment="1">
      <alignment vertical="center"/>
    </xf>
    <xf numFmtId="43" fontId="6" fillId="0" borderId="0" applyAlignment="1">
      <alignment vertical="center"/>
    </xf>
    <xf numFmtId="43" fontId="6" fillId="0" borderId="0" applyAlignment="1">
      <alignment vertical="center"/>
    </xf>
    <xf numFmtId="43" fontId="6" fillId="0" borderId="0" applyAlignment="1">
      <alignment vertical="center"/>
    </xf>
    <xf numFmtId="0" fontId="6" fillId="0" borderId="0" applyAlignment="1">
      <alignment vertical="center"/>
    </xf>
    <xf numFmtId="0" fontId="11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11" fillId="0" borderId="0"/>
    <xf numFmtId="0" fontId="11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11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11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" fillId="0" borderId="0" applyAlignment="1">
      <alignment vertical="center"/>
    </xf>
    <xf numFmtId="0" fontId="6" fillId="0" borderId="0" applyAlignment="1">
      <alignment vertical="center"/>
    </xf>
    <xf numFmtId="0" fontId="11" fillId="20" borderId="13"/>
    <xf numFmtId="0" fontId="11" fillId="20" borderId="13"/>
    <xf numFmtId="0" fontId="11" fillId="20" borderId="13"/>
    <xf numFmtId="0" fontId="11" fillId="20" borderId="13"/>
    <xf numFmtId="0" fontId="11" fillId="20" borderId="13"/>
    <xf numFmtId="0" fontId="11" fillId="20" borderId="13"/>
    <xf numFmtId="0" fontId="11" fillId="20" borderId="13"/>
    <xf numFmtId="0" fontId="11" fillId="20" borderId="13"/>
    <xf numFmtId="0" fontId="11" fillId="20" borderId="13"/>
    <xf numFmtId="0" fontId="11" fillId="20" borderId="13"/>
    <xf numFmtId="0" fontId="11" fillId="20" borderId="13"/>
    <xf numFmtId="0" fontId="11" fillId="20" borderId="13"/>
    <xf numFmtId="0" fontId="11" fillId="20" borderId="13"/>
    <xf numFmtId="0" fontId="11" fillId="20" borderId="13"/>
    <xf numFmtId="0" fontId="11" fillId="20" borderId="13"/>
    <xf numFmtId="0" fontId="11" fillId="20" borderId="13"/>
    <xf numFmtId="0" fontId="11" fillId="20" borderId="13"/>
    <xf numFmtId="0" fontId="1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6" fillId="0" borderId="0" applyAlignment="1">
      <alignment vertical="center"/>
    </xf>
    <xf numFmtId="0" fontId="11" fillId="0" borderId="0"/>
    <xf numFmtId="0" fontId="11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6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5" fillId="0" borderId="0"/>
    <xf numFmtId="0" fontId="5" fillId="0" borderId="0"/>
    <xf numFmtId="0" fontId="11" fillId="0" borderId="0"/>
    <xf numFmtId="0" fontId="5" fillId="0" borderId="0" applyAlignment="1">
      <alignment vertical="center"/>
    </xf>
    <xf numFmtId="0" fontId="6" fillId="0" borderId="0" applyAlignment="1">
      <alignment vertical="center"/>
    </xf>
    <xf numFmtId="0" fontId="11" fillId="0" borderId="0" applyAlignment="1">
      <alignment vertical="center"/>
    </xf>
    <xf numFmtId="0" fontId="11" fillId="2" borderId="0"/>
    <xf numFmtId="0" fontId="40" fillId="2" borderId="0"/>
    <xf numFmtId="0" fontId="40" fillId="2" borderId="0"/>
    <xf numFmtId="0" fontId="40" fillId="33" borderId="0"/>
    <xf numFmtId="0" fontId="11" fillId="2" borderId="0"/>
    <xf numFmtId="0" fontId="40" fillId="2" borderId="0"/>
    <xf numFmtId="0" fontId="11" fillId="2" borderId="0"/>
    <xf numFmtId="0" fontId="40" fillId="2" borderId="0"/>
    <xf numFmtId="0" fontId="40" fillId="33" borderId="0"/>
    <xf numFmtId="0" fontId="40" fillId="2" borderId="0"/>
    <xf numFmtId="0" fontId="40" fillId="2" borderId="0"/>
    <xf numFmtId="0" fontId="40" fillId="33" borderId="0"/>
    <xf numFmtId="0" fontId="11" fillId="2" borderId="0"/>
    <xf numFmtId="0" fontId="40" fillId="33" borderId="0"/>
    <xf numFmtId="0" fontId="40" fillId="33" borderId="0"/>
    <xf numFmtId="0" fontId="11" fillId="2" borderId="0"/>
    <xf numFmtId="0" fontId="40" fillId="2" borderId="0"/>
    <xf numFmtId="0" fontId="40" fillId="33" borderId="0"/>
    <xf numFmtId="0" fontId="40" fillId="33" borderId="0"/>
    <xf numFmtId="0" fontId="11" fillId="2" borderId="0"/>
    <xf numFmtId="0" fontId="40" fillId="2" borderId="0"/>
    <xf numFmtId="0" fontId="40" fillId="33" borderId="0"/>
    <xf numFmtId="0" fontId="40" fillId="33" borderId="0"/>
    <xf numFmtId="0" fontId="11" fillId="2" borderId="0"/>
    <xf numFmtId="0" fontId="40" fillId="2" borderId="0"/>
    <xf numFmtId="0" fontId="40" fillId="33" borderId="0"/>
    <xf numFmtId="0" fontId="40" fillId="2" borderId="0"/>
    <xf numFmtId="0" fontId="40" fillId="33" borderId="0"/>
    <xf numFmtId="0" fontId="40" fillId="2" borderId="0"/>
    <xf numFmtId="0" fontId="40" fillId="33" borderId="0"/>
    <xf numFmtId="0" fontId="40" fillId="33" borderId="0"/>
    <xf numFmtId="0" fontId="11" fillId="2" borderId="0"/>
    <xf numFmtId="0" fontId="40" fillId="2" borderId="0"/>
    <xf numFmtId="0" fontId="40" fillId="2" borderId="0"/>
    <xf numFmtId="0" fontId="40" fillId="33" borderId="0"/>
    <xf numFmtId="0" fontId="11" fillId="2" borderId="0"/>
    <xf numFmtId="0" fontId="40" fillId="2" borderId="0"/>
    <xf numFmtId="0" fontId="11" fillId="2" borderId="0"/>
    <xf numFmtId="0" fontId="40" fillId="2" borderId="0"/>
    <xf numFmtId="0" fontId="40" fillId="33" borderId="0"/>
    <xf numFmtId="0" fontId="40" fillId="2" borderId="0"/>
    <xf numFmtId="0" fontId="40" fillId="2" borderId="0"/>
    <xf numFmtId="0" fontId="40" fillId="33" borderId="0"/>
    <xf numFmtId="0" fontId="11" fillId="2" borderId="0"/>
    <xf numFmtId="0" fontId="40" fillId="33" borderId="0"/>
    <xf numFmtId="0" fontId="40" fillId="33" borderId="0"/>
    <xf numFmtId="0" fontId="11" fillId="2" borderId="0"/>
    <xf numFmtId="0" fontId="40" fillId="2" borderId="0"/>
    <xf numFmtId="0" fontId="40" fillId="33" borderId="0"/>
    <xf numFmtId="0" fontId="11" fillId="2" borderId="0"/>
    <xf numFmtId="0" fontId="40" fillId="2" borderId="0"/>
    <xf numFmtId="0" fontId="40" fillId="33" borderId="0"/>
    <xf numFmtId="0" fontId="40" fillId="2" borderId="0"/>
    <xf numFmtId="0" fontId="40" fillId="2" borderId="0"/>
    <xf numFmtId="0" fontId="40" fillId="33" borderId="0"/>
    <xf numFmtId="0" fontId="40" fillId="2" borderId="0"/>
    <xf numFmtId="0" fontId="40" fillId="33" borderId="0"/>
    <xf numFmtId="0" fontId="40" fillId="33" borderId="0"/>
    <xf numFmtId="0" fontId="11" fillId="2" borderId="0"/>
    <xf numFmtId="0" fontId="40" fillId="2" borderId="0"/>
    <xf numFmtId="0" fontId="40" fillId="33" borderId="0"/>
    <xf numFmtId="0" fontId="11" fillId="2" borderId="0"/>
    <xf numFmtId="0" fontId="40" fillId="2" borderId="0"/>
    <xf numFmtId="0" fontId="40" fillId="33" borderId="0"/>
    <xf numFmtId="0" fontId="40" fillId="2" borderId="0"/>
    <xf numFmtId="0" fontId="40" fillId="2" borderId="0"/>
    <xf numFmtId="0" fontId="40" fillId="33" borderId="0"/>
    <xf numFmtId="0" fontId="11" fillId="2" borderId="0"/>
    <xf numFmtId="0" fontId="40" fillId="33" borderId="0"/>
    <xf numFmtId="0" fontId="40" fillId="33" borderId="0"/>
    <xf numFmtId="0" fontId="40" fillId="33" borderId="0"/>
    <xf numFmtId="0" fontId="40" fillId="33" borderId="0"/>
    <xf numFmtId="0" fontId="40" fillId="33" borderId="0"/>
    <xf numFmtId="0" fontId="40" fillId="33" borderId="0"/>
    <xf numFmtId="0" fontId="11" fillId="3" borderId="0"/>
    <xf numFmtId="0" fontId="40" fillId="3" borderId="0"/>
    <xf numFmtId="0" fontId="40" fillId="3" borderId="0"/>
    <xf numFmtId="0" fontId="40" fillId="34" borderId="0"/>
    <xf numFmtId="0" fontId="11" fillId="3" borderId="0"/>
    <xf numFmtId="0" fontId="40" fillId="3" borderId="0"/>
    <xf numFmtId="0" fontId="11" fillId="3" borderId="0"/>
    <xf numFmtId="0" fontId="40" fillId="3" borderId="0"/>
    <xf numFmtId="0" fontId="40" fillId="34" borderId="0"/>
    <xf numFmtId="0" fontId="40" fillId="3" borderId="0"/>
    <xf numFmtId="0" fontId="40" fillId="3" borderId="0"/>
    <xf numFmtId="0" fontId="40" fillId="34" borderId="0"/>
    <xf numFmtId="0" fontId="11" fillId="3" borderId="0"/>
    <xf numFmtId="0" fontId="40" fillId="34" borderId="0"/>
    <xf numFmtId="0" fontId="40" fillId="34" borderId="0"/>
    <xf numFmtId="0" fontId="11" fillId="3" borderId="0"/>
    <xf numFmtId="0" fontId="40" fillId="3" borderId="0"/>
    <xf numFmtId="0" fontId="40" fillId="34" borderId="0"/>
    <xf numFmtId="0" fontId="40" fillId="34" borderId="0"/>
    <xf numFmtId="0" fontId="11" fillId="3" borderId="0"/>
    <xf numFmtId="0" fontId="40" fillId="3" borderId="0"/>
    <xf numFmtId="0" fontId="40" fillId="34" borderId="0"/>
    <xf numFmtId="0" fontId="40" fillId="34" borderId="0"/>
    <xf numFmtId="0" fontId="11" fillId="3" borderId="0"/>
    <xf numFmtId="0" fontId="40" fillId="3" borderId="0"/>
    <xf numFmtId="0" fontId="40" fillId="34" borderId="0"/>
    <xf numFmtId="0" fontId="40" fillId="3" borderId="0"/>
    <xf numFmtId="0" fontId="40" fillId="34" borderId="0"/>
    <xf numFmtId="0" fontId="40" fillId="3" borderId="0"/>
    <xf numFmtId="0" fontId="40" fillId="34" borderId="0"/>
    <xf numFmtId="0" fontId="40" fillId="34" borderId="0"/>
    <xf numFmtId="0" fontId="11" fillId="3" borderId="0"/>
    <xf numFmtId="0" fontId="40" fillId="3" borderId="0"/>
    <xf numFmtId="0" fontId="40" fillId="3" borderId="0"/>
    <xf numFmtId="0" fontId="40" fillId="34" borderId="0"/>
    <xf numFmtId="0" fontId="11" fillId="3" borderId="0"/>
    <xf numFmtId="0" fontId="40" fillId="3" borderId="0"/>
    <xf numFmtId="0" fontId="11" fillId="3" borderId="0"/>
    <xf numFmtId="0" fontId="40" fillId="3" borderId="0"/>
    <xf numFmtId="0" fontId="40" fillId="34" borderId="0"/>
    <xf numFmtId="0" fontId="40" fillId="3" borderId="0"/>
    <xf numFmtId="0" fontId="40" fillId="3" borderId="0"/>
    <xf numFmtId="0" fontId="40" fillId="34" borderId="0"/>
    <xf numFmtId="0" fontId="11" fillId="3" borderId="0"/>
    <xf numFmtId="0" fontId="40" fillId="34" borderId="0"/>
    <xf numFmtId="0" fontId="40" fillId="34" borderId="0"/>
    <xf numFmtId="0" fontId="11" fillId="3" borderId="0"/>
    <xf numFmtId="0" fontId="40" fillId="3" borderId="0"/>
    <xf numFmtId="0" fontId="40" fillId="34" borderId="0"/>
    <xf numFmtId="0" fontId="11" fillId="3" borderId="0"/>
    <xf numFmtId="0" fontId="40" fillId="3" borderId="0"/>
    <xf numFmtId="0" fontId="40" fillId="34" borderId="0"/>
    <xf numFmtId="0" fontId="40" fillId="3" borderId="0"/>
    <xf numFmtId="0" fontId="40" fillId="3" borderId="0"/>
    <xf numFmtId="0" fontId="40" fillId="34" borderId="0"/>
    <xf numFmtId="0" fontId="40" fillId="3" borderId="0"/>
    <xf numFmtId="0" fontId="40" fillId="34" borderId="0"/>
    <xf numFmtId="0" fontId="40" fillId="34" borderId="0"/>
    <xf numFmtId="0" fontId="11" fillId="3" borderId="0"/>
    <xf numFmtId="0" fontId="40" fillId="3" borderId="0"/>
    <xf numFmtId="0" fontId="40" fillId="34" borderId="0"/>
    <xf numFmtId="0" fontId="11" fillId="3" borderId="0"/>
    <xf numFmtId="0" fontId="40" fillId="3" borderId="0"/>
    <xf numFmtId="0" fontId="40" fillId="34" borderId="0"/>
    <xf numFmtId="0" fontId="40" fillId="3" borderId="0"/>
    <xf numFmtId="0" fontId="40" fillId="3" borderId="0"/>
    <xf numFmtId="0" fontId="40" fillId="34" borderId="0"/>
    <xf numFmtId="0" fontId="11" fillId="3" borderId="0"/>
    <xf numFmtId="0" fontId="40" fillId="34" borderId="0"/>
    <xf numFmtId="0" fontId="40" fillId="34" borderId="0"/>
    <xf numFmtId="0" fontId="40" fillId="34" borderId="0"/>
    <xf numFmtId="0" fontId="40" fillId="34" borderId="0"/>
    <xf numFmtId="0" fontId="40" fillId="34" borderId="0"/>
    <xf numFmtId="0" fontId="40" fillId="34" borderId="0"/>
    <xf numFmtId="0" fontId="11" fillId="4" borderId="0"/>
    <xf numFmtId="0" fontId="40" fillId="4" borderId="0"/>
    <xf numFmtId="0" fontId="40" fillId="35" borderId="0"/>
    <xf numFmtId="0" fontId="11" fillId="4" borderId="0"/>
    <xf numFmtId="0" fontId="40" fillId="4" borderId="0"/>
    <xf numFmtId="0" fontId="11" fillId="4" borderId="0"/>
    <xf numFmtId="0" fontId="40" fillId="4" borderId="0"/>
    <xf numFmtId="0" fontId="40" fillId="4" borderId="0"/>
    <xf numFmtId="0" fontId="11" fillId="4" borderId="0"/>
    <xf numFmtId="0" fontId="40" fillId="4" borderId="0"/>
    <xf numFmtId="0" fontId="40" fillId="35" borderId="0"/>
    <xf numFmtId="0" fontId="11" fillId="4" borderId="0"/>
    <xf numFmtId="0" fontId="40" fillId="4" borderId="0"/>
    <xf numFmtId="0" fontId="40" fillId="35" borderId="0"/>
    <xf numFmtId="0" fontId="40" fillId="35" borderId="0"/>
    <xf numFmtId="0" fontId="40" fillId="35" borderId="0"/>
    <xf numFmtId="0" fontId="11" fillId="4" borderId="0"/>
    <xf numFmtId="0" fontId="40" fillId="4" borderId="0"/>
    <xf numFmtId="0" fontId="40" fillId="35" borderId="0"/>
    <xf numFmtId="0" fontId="40" fillId="4" borderId="0"/>
    <xf numFmtId="0" fontId="40" fillId="4" borderId="0"/>
    <xf numFmtId="0" fontId="40" fillId="35" borderId="0"/>
    <xf numFmtId="0" fontId="40" fillId="35" borderId="0"/>
    <xf numFmtId="0" fontId="11" fillId="4" borderId="0"/>
    <xf numFmtId="0" fontId="40" fillId="4" borderId="0"/>
    <xf numFmtId="0" fontId="40" fillId="35" borderId="0"/>
    <xf numFmtId="0" fontId="11" fillId="4" borderId="0"/>
    <xf numFmtId="0" fontId="40" fillId="4" borderId="0"/>
    <xf numFmtId="0" fontId="11" fillId="4" borderId="0"/>
    <xf numFmtId="0" fontId="40" fillId="4" borderId="0"/>
    <xf numFmtId="0" fontId="40" fillId="4" borderId="0"/>
    <xf numFmtId="0" fontId="11" fillId="4" borderId="0"/>
    <xf numFmtId="0" fontId="40" fillId="4" borderId="0"/>
    <xf numFmtId="0" fontId="40" fillId="35" borderId="0"/>
    <xf numFmtId="0" fontId="40" fillId="35" borderId="0"/>
    <xf numFmtId="0" fontId="11" fillId="4" borderId="0"/>
    <xf numFmtId="0" fontId="40" fillId="4" borderId="0"/>
    <xf numFmtId="0" fontId="40" fillId="35" borderId="0"/>
    <xf numFmtId="0" fontId="11" fillId="4" borderId="0"/>
    <xf numFmtId="0" fontId="40" fillId="4" borderId="0"/>
    <xf numFmtId="0" fontId="40" fillId="35" borderId="0"/>
    <xf numFmtId="0" fontId="40" fillId="4" borderId="0"/>
    <xf numFmtId="0" fontId="40" fillId="4" borderId="0"/>
    <xf numFmtId="0" fontId="40" fillId="35" borderId="0"/>
    <xf numFmtId="0" fontId="40" fillId="35" borderId="0"/>
    <xf numFmtId="0" fontId="40" fillId="35" borderId="0"/>
    <xf numFmtId="0" fontId="11" fillId="4" borderId="0"/>
    <xf numFmtId="0" fontId="40" fillId="4" borderId="0"/>
    <xf numFmtId="0" fontId="11" fillId="4" borderId="0"/>
    <xf numFmtId="0" fontId="40" fillId="4" borderId="0"/>
    <xf numFmtId="0" fontId="40" fillId="4" borderId="0"/>
    <xf numFmtId="0" fontId="11" fillId="4" borderId="0"/>
    <xf numFmtId="0" fontId="40" fillId="4" borderId="0"/>
    <xf numFmtId="0" fontId="40" fillId="4" borderId="0"/>
    <xf numFmtId="0" fontId="40" fillId="35" borderId="0"/>
    <xf numFmtId="0" fontId="40" fillId="35" borderId="0"/>
    <xf numFmtId="0" fontId="40" fillId="4" borderId="0"/>
    <xf numFmtId="0" fontId="40" fillId="4" borderId="0"/>
    <xf numFmtId="0" fontId="40" fillId="4" borderId="0"/>
    <xf numFmtId="0" fontId="11" fillId="5" borderId="0"/>
    <xf numFmtId="0" fontId="40" fillId="5" borderId="0"/>
    <xf numFmtId="0" fontId="40" fillId="5" borderId="0"/>
    <xf numFmtId="0" fontId="40" fillId="36" borderId="0"/>
    <xf numFmtId="0" fontId="11" fillId="5" borderId="0"/>
    <xf numFmtId="0" fontId="40" fillId="5" borderId="0"/>
    <xf numFmtId="0" fontId="11" fillId="5" borderId="0"/>
    <xf numFmtId="0" fontId="40" fillId="5" borderId="0"/>
    <xf numFmtId="0" fontId="40" fillId="36" borderId="0"/>
    <xf numFmtId="0" fontId="40" fillId="5" borderId="0"/>
    <xf numFmtId="0" fontId="40" fillId="5" borderId="0"/>
    <xf numFmtId="0" fontId="40" fillId="36" borderId="0"/>
    <xf numFmtId="0" fontId="11" fillId="5" borderId="0"/>
    <xf numFmtId="0" fontId="40" fillId="36" borderId="0"/>
    <xf numFmtId="0" fontId="40" fillId="36" borderId="0"/>
    <xf numFmtId="0" fontId="11" fillId="5" borderId="0"/>
    <xf numFmtId="0" fontId="40" fillId="5" borderId="0"/>
    <xf numFmtId="0" fontId="40" fillId="36" borderId="0"/>
    <xf numFmtId="0" fontId="40" fillId="36" borderId="0"/>
    <xf numFmtId="0" fontId="11" fillId="5" borderId="0"/>
    <xf numFmtId="0" fontId="40" fillId="5" borderId="0"/>
    <xf numFmtId="0" fontId="40" fillId="36" borderId="0"/>
    <xf numFmtId="0" fontId="40" fillId="36" borderId="0"/>
    <xf numFmtId="0" fontId="11" fillId="5" borderId="0"/>
    <xf numFmtId="0" fontId="40" fillId="5" borderId="0"/>
    <xf numFmtId="0" fontId="40" fillId="36" borderId="0"/>
    <xf numFmtId="0" fontId="40" fillId="5" borderId="0"/>
    <xf numFmtId="0" fontId="40" fillId="36" borderId="0"/>
    <xf numFmtId="0" fontId="40" fillId="5" borderId="0"/>
    <xf numFmtId="0" fontId="40" fillId="36" borderId="0"/>
    <xf numFmtId="0" fontId="40" fillId="36" borderId="0"/>
    <xf numFmtId="0" fontId="11" fillId="5" borderId="0"/>
    <xf numFmtId="0" fontId="40" fillId="5" borderId="0"/>
    <xf numFmtId="0" fontId="40" fillId="5" borderId="0"/>
    <xf numFmtId="0" fontId="40" fillId="36" borderId="0"/>
    <xf numFmtId="0" fontId="11" fillId="5" borderId="0"/>
    <xf numFmtId="0" fontId="40" fillId="5" borderId="0"/>
    <xf numFmtId="0" fontId="11" fillId="5" borderId="0"/>
    <xf numFmtId="0" fontId="40" fillId="5" borderId="0"/>
    <xf numFmtId="0" fontId="40" fillId="36" borderId="0"/>
    <xf numFmtId="0" fontId="40" fillId="5" borderId="0"/>
    <xf numFmtId="0" fontId="40" fillId="5" borderId="0"/>
    <xf numFmtId="0" fontId="40" fillId="36" borderId="0"/>
    <xf numFmtId="0" fontId="11" fillId="5" borderId="0"/>
    <xf numFmtId="0" fontId="40" fillId="36" borderId="0"/>
    <xf numFmtId="0" fontId="40" fillId="36" borderId="0"/>
    <xf numFmtId="0" fontId="11" fillId="5" borderId="0"/>
    <xf numFmtId="0" fontId="40" fillId="5" borderId="0"/>
    <xf numFmtId="0" fontId="40" fillId="36" borderId="0"/>
    <xf numFmtId="0" fontId="11" fillId="5" borderId="0"/>
    <xf numFmtId="0" fontId="40" fillId="5" borderId="0"/>
    <xf numFmtId="0" fontId="40" fillId="36" borderId="0"/>
    <xf numFmtId="0" fontId="40" fillId="5" borderId="0"/>
    <xf numFmtId="0" fontId="40" fillId="5" borderId="0"/>
    <xf numFmtId="0" fontId="40" fillId="36" borderId="0"/>
    <xf numFmtId="0" fontId="40" fillId="5" borderId="0"/>
    <xf numFmtId="0" fontId="40" fillId="36" borderId="0"/>
    <xf numFmtId="0" fontId="40" fillId="36" borderId="0"/>
    <xf numFmtId="0" fontId="11" fillId="5" borderId="0"/>
    <xf numFmtId="0" fontId="40" fillId="5" borderId="0"/>
    <xf numFmtId="0" fontId="40" fillId="36" borderId="0"/>
    <xf numFmtId="0" fontId="11" fillId="5" borderId="0"/>
    <xf numFmtId="0" fontId="40" fillId="5" borderId="0"/>
    <xf numFmtId="0" fontId="40" fillId="36" borderId="0"/>
    <xf numFmtId="0" fontId="40" fillId="5" borderId="0"/>
    <xf numFmtId="0" fontId="40" fillId="5" borderId="0"/>
    <xf numFmtId="0" fontId="40" fillId="36" borderId="0"/>
    <xf numFmtId="0" fontId="11" fillId="5" borderId="0"/>
    <xf numFmtId="0" fontId="40" fillId="36" borderId="0"/>
    <xf numFmtId="0" fontId="40" fillId="36" borderId="0"/>
    <xf numFmtId="0" fontId="40" fillId="36" borderId="0"/>
    <xf numFmtId="0" fontId="40" fillId="36" borderId="0"/>
    <xf numFmtId="0" fontId="40" fillId="36" borderId="0"/>
    <xf numFmtId="0" fontId="40" fillId="36" borderId="0"/>
    <xf numFmtId="0" fontId="40" fillId="6" borderId="0"/>
    <xf numFmtId="0" fontId="11" fillId="6" borderId="0"/>
    <xf numFmtId="0" fontId="40" fillId="6" borderId="0"/>
    <xf numFmtId="0" fontId="11" fillId="6" borderId="0"/>
    <xf numFmtId="0" fontId="40" fillId="6" borderId="0"/>
    <xf numFmtId="0" fontId="40" fillId="6" borderId="0"/>
    <xf numFmtId="0" fontId="11" fillId="6" borderId="0"/>
    <xf numFmtId="0" fontId="40" fillId="6" borderId="0"/>
    <xf numFmtId="0" fontId="11" fillId="6" borderId="0"/>
    <xf numFmtId="0" fontId="40" fillId="6" borderId="0"/>
    <xf numFmtId="0" fontId="11" fillId="6" borderId="0"/>
    <xf numFmtId="0" fontId="40" fillId="6" borderId="0"/>
    <xf numFmtId="0" fontId="40" fillId="6" borderId="0"/>
    <xf numFmtId="0" fontId="11" fillId="6" borderId="0"/>
    <xf numFmtId="0" fontId="40" fillId="6" borderId="0"/>
    <xf numFmtId="0" fontId="11" fillId="6" borderId="0"/>
    <xf numFmtId="0" fontId="40" fillId="6" borderId="0"/>
    <xf numFmtId="0" fontId="11" fillId="6" borderId="0"/>
    <xf numFmtId="0" fontId="40" fillId="6" borderId="0"/>
    <xf numFmtId="0" fontId="40" fillId="6" borderId="0"/>
    <xf numFmtId="0" fontId="11" fillId="6" borderId="0"/>
    <xf numFmtId="0" fontId="40" fillId="6" borderId="0"/>
    <xf numFmtId="0" fontId="11" fillId="6" borderId="0"/>
    <xf numFmtId="0" fontId="40" fillId="6" borderId="0"/>
    <xf numFmtId="0" fontId="11" fillId="6" borderId="0"/>
    <xf numFmtId="0" fontId="40" fillId="6" borderId="0"/>
    <xf numFmtId="0" fontId="40" fillId="6" borderId="0"/>
    <xf numFmtId="0" fontId="11" fillId="6" borderId="0"/>
    <xf numFmtId="0" fontId="11" fillId="6" borderId="0"/>
    <xf numFmtId="0" fontId="40" fillId="6" borderId="0"/>
    <xf numFmtId="0" fontId="11" fillId="6" borderId="0"/>
    <xf numFmtId="0" fontId="40" fillId="6" borderId="0"/>
    <xf numFmtId="0" fontId="40" fillId="6" borderId="0"/>
    <xf numFmtId="0" fontId="11" fillId="6" borderId="0"/>
    <xf numFmtId="0" fontId="40" fillId="6" borderId="0"/>
    <xf numFmtId="0" fontId="40" fillId="6" borderId="0"/>
    <xf numFmtId="0" fontId="40" fillId="6" borderId="0"/>
    <xf numFmtId="0" fontId="11" fillId="7" borderId="0"/>
    <xf numFmtId="0" fontId="40" fillId="7" borderId="0"/>
    <xf numFmtId="0" fontId="40" fillId="7" borderId="0"/>
    <xf numFmtId="0" fontId="40" fillId="35" borderId="0"/>
    <xf numFmtId="0" fontId="11" fillId="7" borderId="0"/>
    <xf numFmtId="0" fontId="40" fillId="7" borderId="0"/>
    <xf numFmtId="0" fontId="11" fillId="7" borderId="0"/>
    <xf numFmtId="0" fontId="40" fillId="7" borderId="0"/>
    <xf numFmtId="0" fontId="40" fillId="35" borderId="0"/>
    <xf numFmtId="0" fontId="40" fillId="7" borderId="0"/>
    <xf numFmtId="0" fontId="40" fillId="7" borderId="0"/>
    <xf numFmtId="0" fontId="40" fillId="35" borderId="0"/>
    <xf numFmtId="0" fontId="11" fillId="7" borderId="0"/>
    <xf numFmtId="0" fontId="40" fillId="35" borderId="0"/>
    <xf numFmtId="0" fontId="40" fillId="35" borderId="0"/>
    <xf numFmtId="0" fontId="11" fillId="7" borderId="0"/>
    <xf numFmtId="0" fontId="40" fillId="7" borderId="0"/>
    <xf numFmtId="0" fontId="40" fillId="35" borderId="0"/>
    <xf numFmtId="0" fontId="40" fillId="35" borderId="0"/>
    <xf numFmtId="0" fontId="11" fillId="7" borderId="0"/>
    <xf numFmtId="0" fontId="40" fillId="7" borderId="0"/>
    <xf numFmtId="0" fontId="40" fillId="35" borderId="0"/>
    <xf numFmtId="0" fontId="40" fillId="35" borderId="0"/>
    <xf numFmtId="0" fontId="11" fillId="7" borderId="0"/>
    <xf numFmtId="0" fontId="40" fillId="7" borderId="0"/>
    <xf numFmtId="0" fontId="40" fillId="35" borderId="0"/>
    <xf numFmtId="0" fontId="40" fillId="7" borderId="0"/>
    <xf numFmtId="0" fontId="40" fillId="35" borderId="0"/>
    <xf numFmtId="0" fontId="40" fillId="7" borderId="0"/>
    <xf numFmtId="0" fontId="40" fillId="35" borderId="0"/>
    <xf numFmtId="0" fontId="40" fillId="35" borderId="0"/>
    <xf numFmtId="0" fontId="11" fillId="7" borderId="0"/>
    <xf numFmtId="0" fontId="40" fillId="7" borderId="0"/>
    <xf numFmtId="0" fontId="40" fillId="7" borderId="0"/>
    <xf numFmtId="0" fontId="40" fillId="35" borderId="0"/>
    <xf numFmtId="0" fontId="11" fillId="7" borderId="0"/>
    <xf numFmtId="0" fontId="40" fillId="7" borderId="0"/>
    <xf numFmtId="0" fontId="11" fillId="7" borderId="0"/>
    <xf numFmtId="0" fontId="40" fillId="7" borderId="0"/>
    <xf numFmtId="0" fontId="40" fillId="35" borderId="0"/>
    <xf numFmtId="0" fontId="40" fillId="7" borderId="0"/>
    <xf numFmtId="0" fontId="40" fillId="7" borderId="0"/>
    <xf numFmtId="0" fontId="40" fillId="35" borderId="0"/>
    <xf numFmtId="0" fontId="11" fillId="7" borderId="0"/>
    <xf numFmtId="0" fontId="40" fillId="35" borderId="0"/>
    <xf numFmtId="0" fontId="40" fillId="35" borderId="0"/>
    <xf numFmtId="0" fontId="11" fillId="7" borderId="0"/>
    <xf numFmtId="0" fontId="40" fillId="7" borderId="0"/>
    <xf numFmtId="0" fontId="40" fillId="35" borderId="0"/>
    <xf numFmtId="0" fontId="11" fillId="7" borderId="0"/>
    <xf numFmtId="0" fontId="40" fillId="7" borderId="0"/>
    <xf numFmtId="0" fontId="40" fillId="35" borderId="0"/>
    <xf numFmtId="0" fontId="40" fillId="7" borderId="0"/>
    <xf numFmtId="0" fontId="40" fillId="7" borderId="0"/>
    <xf numFmtId="0" fontId="40" fillId="35" borderId="0"/>
    <xf numFmtId="0" fontId="40" fillId="7" borderId="0"/>
    <xf numFmtId="0" fontId="40" fillId="35" borderId="0"/>
    <xf numFmtId="0" fontId="40" fillId="35" borderId="0"/>
    <xf numFmtId="0" fontId="11" fillId="7" borderId="0"/>
    <xf numFmtId="0" fontId="40" fillId="7" borderId="0"/>
    <xf numFmtId="0" fontId="40" fillId="35" borderId="0"/>
    <xf numFmtId="0" fontId="11" fillId="7" borderId="0"/>
    <xf numFmtId="0" fontId="40" fillId="7" borderId="0"/>
    <xf numFmtId="0" fontId="40" fillId="35" borderId="0"/>
    <xf numFmtId="0" fontId="40" fillId="7" borderId="0"/>
    <xf numFmtId="0" fontId="40" fillId="7" borderId="0"/>
    <xf numFmtId="0" fontId="40" fillId="35" borderId="0"/>
    <xf numFmtId="0" fontId="11" fillId="7" borderId="0"/>
    <xf numFmtId="0" fontId="40" fillId="35" borderId="0"/>
    <xf numFmtId="0" fontId="40" fillId="35" borderId="0"/>
    <xf numFmtId="0" fontId="40" fillId="35" borderId="0"/>
    <xf numFmtId="0" fontId="40" fillId="35" borderId="0"/>
    <xf numFmtId="0" fontId="40" fillId="35" borderId="0"/>
    <xf numFmtId="0" fontId="40" fillId="35" borderId="0"/>
    <xf numFmtId="0" fontId="40" fillId="2" borderId="0"/>
    <xf numFmtId="0" fontId="40" fillId="33" borderId="0" applyAlignment="1">
      <alignment vertical="center"/>
    </xf>
    <xf numFmtId="0" fontId="11" fillId="2" borderId="0"/>
    <xf numFmtId="0" fontId="40" fillId="2" borderId="0"/>
    <xf numFmtId="0" fontId="11" fillId="2" borderId="0"/>
    <xf numFmtId="0" fontId="40" fillId="2" borderId="0"/>
    <xf numFmtId="0" fontId="40" fillId="33" borderId="0" applyAlignment="1">
      <alignment vertical="center"/>
    </xf>
    <xf numFmtId="0" fontId="40" fillId="2" borderId="0"/>
    <xf numFmtId="0" fontId="40" fillId="2" borderId="0"/>
    <xf numFmtId="0" fontId="40" fillId="33" borderId="0" applyAlignment="1">
      <alignment vertical="center"/>
    </xf>
    <xf numFmtId="0" fontId="11" fillId="2" borderId="0"/>
    <xf numFmtId="0" fontId="40" fillId="33" borderId="0"/>
    <xf numFmtId="0" fontId="40" fillId="33" borderId="0"/>
    <xf numFmtId="0" fontId="40" fillId="3" borderId="0"/>
    <xf numFmtId="0" fontId="40" fillId="34" borderId="0" applyAlignment="1">
      <alignment vertical="center"/>
    </xf>
    <xf numFmtId="0" fontId="11" fillId="3" borderId="0"/>
    <xf numFmtId="0" fontId="40" fillId="3" borderId="0"/>
    <xf numFmtId="0" fontId="11" fillId="3" borderId="0"/>
    <xf numFmtId="0" fontId="40" fillId="3" borderId="0"/>
    <xf numFmtId="0" fontId="40" fillId="34" borderId="0" applyAlignment="1">
      <alignment vertical="center"/>
    </xf>
    <xf numFmtId="0" fontId="40" fillId="3" borderId="0"/>
    <xf numFmtId="0" fontId="40" fillId="3" borderId="0"/>
    <xf numFmtId="0" fontId="40" fillId="34" borderId="0" applyAlignment="1">
      <alignment vertical="center"/>
    </xf>
    <xf numFmtId="0" fontId="11" fillId="3" borderId="0"/>
    <xf numFmtId="0" fontId="40" fillId="34" borderId="0"/>
    <xf numFmtId="0" fontId="40" fillId="34" borderId="0"/>
    <xf numFmtId="0" fontId="40" fillId="4" borderId="0"/>
    <xf numFmtId="0" fontId="40" fillId="35" borderId="0" applyAlignment="1">
      <alignment vertical="center"/>
    </xf>
    <xf numFmtId="0" fontId="11" fillId="4" borderId="0"/>
    <xf numFmtId="0" fontId="40" fillId="4" borderId="0"/>
    <xf numFmtId="0" fontId="11" fillId="4" borderId="0"/>
    <xf numFmtId="0" fontId="40" fillId="4" borderId="0"/>
    <xf numFmtId="0" fontId="40" fillId="4" borderId="0" applyAlignment="1">
      <alignment vertical="center"/>
    </xf>
    <xf numFmtId="0" fontId="40" fillId="4" borderId="0"/>
    <xf numFmtId="0" fontId="40" fillId="4" borderId="0"/>
    <xf numFmtId="0" fontId="40" fillId="4" borderId="0" applyAlignment="1">
      <alignment vertical="center"/>
    </xf>
    <xf numFmtId="0" fontId="11" fillId="4" borderId="0"/>
    <xf numFmtId="0" fontId="40" fillId="4" borderId="0"/>
    <xf numFmtId="0" fontId="40" fillId="35" borderId="0"/>
    <xf numFmtId="0" fontId="40" fillId="5" borderId="0"/>
    <xf numFmtId="0" fontId="40" fillId="36" borderId="0" applyAlignment="1">
      <alignment vertical="center"/>
    </xf>
    <xf numFmtId="0" fontId="11" fillId="5" borderId="0"/>
    <xf numFmtId="0" fontId="40" fillId="5" borderId="0"/>
    <xf numFmtId="0" fontId="11" fillId="5" borderId="0"/>
    <xf numFmtId="0" fontId="40" fillId="5" borderId="0"/>
    <xf numFmtId="0" fontId="40" fillId="36" borderId="0" applyAlignment="1">
      <alignment vertical="center"/>
    </xf>
    <xf numFmtId="0" fontId="40" fillId="5" borderId="0"/>
    <xf numFmtId="0" fontId="40" fillId="5" borderId="0"/>
    <xf numFmtId="0" fontId="40" fillId="36" borderId="0" applyAlignment="1">
      <alignment vertical="center"/>
    </xf>
    <xf numFmtId="0" fontId="11" fillId="5" borderId="0"/>
    <xf numFmtId="0" fontId="40" fillId="36" borderId="0"/>
    <xf numFmtId="0" fontId="40" fillId="36" borderId="0"/>
    <xf numFmtId="0" fontId="40" fillId="6" borderId="0"/>
    <xf numFmtId="0" fontId="11" fillId="6" borderId="0"/>
    <xf numFmtId="0" fontId="40" fillId="6" borderId="0"/>
    <xf numFmtId="0" fontId="11" fillId="6" borderId="0"/>
    <xf numFmtId="0" fontId="40" fillId="6" borderId="0"/>
    <xf numFmtId="0" fontId="40" fillId="6" borderId="0" applyAlignment="1">
      <alignment vertical="center"/>
    </xf>
    <xf numFmtId="0" fontId="40" fillId="6" borderId="0"/>
    <xf numFmtId="0" fontId="40" fillId="6" borderId="0"/>
    <xf numFmtId="0" fontId="40" fillId="6" borderId="0" applyAlignment="1">
      <alignment vertical="center"/>
    </xf>
    <xf numFmtId="0" fontId="11" fillId="6" borderId="0"/>
    <xf numFmtId="0" fontId="40" fillId="6" borderId="0"/>
    <xf numFmtId="0" fontId="40" fillId="7" borderId="0"/>
    <xf numFmtId="0" fontId="40" fillId="35" borderId="0" applyAlignment="1">
      <alignment vertical="center"/>
    </xf>
    <xf numFmtId="0" fontId="11" fillId="7" borderId="0"/>
    <xf numFmtId="0" fontId="40" fillId="7" borderId="0"/>
    <xf numFmtId="0" fontId="11" fillId="7" borderId="0"/>
    <xf numFmtId="0" fontId="40" fillId="7" borderId="0"/>
    <xf numFmtId="0" fontId="40" fillId="35" borderId="0" applyAlignment="1">
      <alignment vertical="center"/>
    </xf>
    <xf numFmtId="0" fontId="40" fillId="7" borderId="0"/>
    <xf numFmtId="0" fontId="40" fillId="7" borderId="0"/>
    <xf numFmtId="0" fontId="40" fillId="35" borderId="0" applyAlignment="1">
      <alignment vertical="center"/>
    </xf>
    <xf numFmtId="0" fontId="11" fillId="7" borderId="0"/>
    <xf numFmtId="0" fontId="40" fillId="35" borderId="0"/>
    <xf numFmtId="0" fontId="40" fillId="35" borderId="0"/>
    <xf numFmtId="0" fontId="11" fillId="8" borderId="0"/>
    <xf numFmtId="0" fontId="40" fillId="8" borderId="0"/>
    <xf numFmtId="0" fontId="40" fillId="8" borderId="0"/>
    <xf numFmtId="0" fontId="40" fillId="37" borderId="0"/>
    <xf numFmtId="0" fontId="11" fillId="8" borderId="0"/>
    <xf numFmtId="0" fontId="40" fillId="8" borderId="0"/>
    <xf numFmtId="0" fontId="11" fillId="8" borderId="0"/>
    <xf numFmtId="0" fontId="40" fillId="8" borderId="0"/>
    <xf numFmtId="0" fontId="40" fillId="37" borderId="0"/>
    <xf numFmtId="0" fontId="40" fillId="8" borderId="0"/>
    <xf numFmtId="0" fontId="40" fillId="8" borderId="0"/>
    <xf numFmtId="0" fontId="40" fillId="37" borderId="0"/>
    <xf numFmtId="0" fontId="11" fillId="8" borderId="0"/>
    <xf numFmtId="0" fontId="40" fillId="37" borderId="0"/>
    <xf numFmtId="0" fontId="40" fillId="37" borderId="0"/>
    <xf numFmtId="0" fontId="11" fillId="8" borderId="0"/>
    <xf numFmtId="0" fontId="40" fillId="8" borderId="0"/>
    <xf numFmtId="0" fontId="40" fillId="37" borderId="0"/>
    <xf numFmtId="0" fontId="40" fillId="37" borderId="0"/>
    <xf numFmtId="0" fontId="11" fillId="8" borderId="0"/>
    <xf numFmtId="0" fontId="40" fillId="8" borderId="0"/>
    <xf numFmtId="0" fontId="40" fillId="37" borderId="0"/>
    <xf numFmtId="0" fontId="40" fillId="37" borderId="0"/>
    <xf numFmtId="0" fontId="11" fillId="8" borderId="0"/>
    <xf numFmtId="0" fontId="40" fillId="8" borderId="0"/>
    <xf numFmtId="0" fontId="40" fillId="37" borderId="0"/>
    <xf numFmtId="0" fontId="40" fillId="8" borderId="0"/>
    <xf numFmtId="0" fontId="40" fillId="37" borderId="0"/>
    <xf numFmtId="0" fontId="40" fillId="8" borderId="0"/>
    <xf numFmtId="0" fontId="40" fillId="37" borderId="0"/>
    <xf numFmtId="0" fontId="40" fillId="37" borderId="0"/>
    <xf numFmtId="0" fontId="11" fillId="8" borderId="0"/>
    <xf numFmtId="0" fontId="40" fillId="8" borderId="0"/>
    <xf numFmtId="0" fontId="40" fillId="8" borderId="0"/>
    <xf numFmtId="0" fontId="40" fillId="37" borderId="0"/>
    <xf numFmtId="0" fontId="11" fillId="8" borderId="0"/>
    <xf numFmtId="0" fontId="40" fillId="8" borderId="0"/>
    <xf numFmtId="0" fontId="11" fillId="8" borderId="0"/>
    <xf numFmtId="0" fontId="40" fillId="8" borderId="0"/>
    <xf numFmtId="0" fontId="40" fillId="37" borderId="0"/>
    <xf numFmtId="0" fontId="40" fillId="8" borderId="0"/>
    <xf numFmtId="0" fontId="40" fillId="8" borderId="0"/>
    <xf numFmtId="0" fontId="40" fillId="37" borderId="0"/>
    <xf numFmtId="0" fontId="11" fillId="8" borderId="0"/>
    <xf numFmtId="0" fontId="40" fillId="37" borderId="0"/>
    <xf numFmtId="0" fontId="40" fillId="37" borderId="0"/>
    <xf numFmtId="0" fontId="11" fillId="8" borderId="0"/>
    <xf numFmtId="0" fontId="40" fillId="8" borderId="0"/>
    <xf numFmtId="0" fontId="40" fillId="37" borderId="0"/>
    <xf numFmtId="0" fontId="11" fillId="8" borderId="0"/>
    <xf numFmtId="0" fontId="40" fillId="8" borderId="0"/>
    <xf numFmtId="0" fontId="40" fillId="37" borderId="0"/>
    <xf numFmtId="0" fontId="40" fillId="8" borderId="0"/>
    <xf numFmtId="0" fontId="40" fillId="8" borderId="0"/>
    <xf numFmtId="0" fontId="40" fillId="37" borderId="0"/>
    <xf numFmtId="0" fontId="40" fillId="8" borderId="0"/>
    <xf numFmtId="0" fontId="40" fillId="37" borderId="0"/>
    <xf numFmtId="0" fontId="40" fillId="37" borderId="0"/>
    <xf numFmtId="0" fontId="11" fillId="8" borderId="0"/>
    <xf numFmtId="0" fontId="40" fillId="8" borderId="0"/>
    <xf numFmtId="0" fontId="40" fillId="37" borderId="0"/>
    <xf numFmtId="0" fontId="11" fillId="8" borderId="0"/>
    <xf numFmtId="0" fontId="40" fillId="8" borderId="0"/>
    <xf numFmtId="0" fontId="40" fillId="37" borderId="0"/>
    <xf numFmtId="0" fontId="40" fillId="8" borderId="0"/>
    <xf numFmtId="0" fontId="40" fillId="8" borderId="0"/>
    <xf numFmtId="0" fontId="40" fillId="37" borderId="0"/>
    <xf numFmtId="0" fontId="11" fillId="8" borderId="0"/>
    <xf numFmtId="0" fontId="40" fillId="37" borderId="0"/>
    <xf numFmtId="0" fontId="40" fillId="37" borderId="0"/>
    <xf numFmtId="0" fontId="40" fillId="37" borderId="0"/>
    <xf numFmtId="0" fontId="40" fillId="37" borderId="0"/>
    <xf numFmtId="0" fontId="40" fillId="37" borderId="0"/>
    <xf numFmtId="0" fontId="40" fillId="37" borderId="0"/>
    <xf numFmtId="0" fontId="40" fillId="9" borderId="0"/>
    <xf numFmtId="0" fontId="11" fillId="9" borderId="0"/>
    <xf numFmtId="0" fontId="40" fillId="9" borderId="0"/>
    <xf numFmtId="0" fontId="11" fillId="9" borderId="0"/>
    <xf numFmtId="0" fontId="40" fillId="9" borderId="0"/>
    <xf numFmtId="0" fontId="40" fillId="9" borderId="0"/>
    <xf numFmtId="0" fontId="11" fillId="9" borderId="0"/>
    <xf numFmtId="0" fontId="40" fillId="9" borderId="0"/>
    <xf numFmtId="0" fontId="11" fillId="9" borderId="0"/>
    <xf numFmtId="0" fontId="40" fillId="9" borderId="0"/>
    <xf numFmtId="0" fontId="11" fillId="9" borderId="0"/>
    <xf numFmtId="0" fontId="40" fillId="9" borderId="0"/>
    <xf numFmtId="0" fontId="40" fillId="9" borderId="0"/>
    <xf numFmtId="0" fontId="11" fillId="9" borderId="0"/>
    <xf numFmtId="0" fontId="40" fillId="9" borderId="0"/>
    <xf numFmtId="0" fontId="11" fillId="9" borderId="0"/>
    <xf numFmtId="0" fontId="40" fillId="9" borderId="0"/>
    <xf numFmtId="0" fontId="11" fillId="9" borderId="0"/>
    <xf numFmtId="0" fontId="40" fillId="9" borderId="0"/>
    <xf numFmtId="0" fontId="40" fillId="9" borderId="0"/>
    <xf numFmtId="0" fontId="11" fillId="9" borderId="0"/>
    <xf numFmtId="0" fontId="40" fillId="9" borderId="0"/>
    <xf numFmtId="0" fontId="11" fillId="9" borderId="0"/>
    <xf numFmtId="0" fontId="40" fillId="9" borderId="0"/>
    <xf numFmtId="0" fontId="11" fillId="9" borderId="0"/>
    <xf numFmtId="0" fontId="40" fillId="9" borderId="0"/>
    <xf numFmtId="0" fontId="40" fillId="9" borderId="0"/>
    <xf numFmtId="0" fontId="11" fillId="9" borderId="0"/>
    <xf numFmtId="0" fontId="11" fillId="9" borderId="0"/>
    <xf numFmtId="0" fontId="40" fillId="9" borderId="0"/>
    <xf numFmtId="0" fontId="11" fillId="9" borderId="0"/>
    <xf numFmtId="0" fontId="40" fillId="9" borderId="0"/>
    <xf numFmtId="0" fontId="40" fillId="9" borderId="0"/>
    <xf numFmtId="0" fontId="11" fillId="9" borderId="0"/>
    <xf numFmtId="0" fontId="40" fillId="9" borderId="0"/>
    <xf numFmtId="0" fontId="40" fillId="9" borderId="0"/>
    <xf numFmtId="0" fontId="40" fillId="9" borderId="0"/>
    <xf numFmtId="0" fontId="11" fillId="10" borderId="0"/>
    <xf numFmtId="0" fontId="40" fillId="10" borderId="0"/>
    <xf numFmtId="0" fontId="40" fillId="40" borderId="0"/>
    <xf numFmtId="0" fontId="11" fillId="10" borderId="0"/>
    <xf numFmtId="0" fontId="40" fillId="10" borderId="0"/>
    <xf numFmtId="0" fontId="11" fillId="10" borderId="0"/>
    <xf numFmtId="0" fontId="40" fillId="10" borderId="0"/>
    <xf numFmtId="0" fontId="40" fillId="10" borderId="0"/>
    <xf numFmtId="0" fontId="11" fillId="10" borderId="0"/>
    <xf numFmtId="0" fontId="40" fillId="10" borderId="0"/>
    <xf numFmtId="0" fontId="40" fillId="40" borderId="0"/>
    <xf numFmtId="0" fontId="11" fillId="10" borderId="0"/>
    <xf numFmtId="0" fontId="40" fillId="10" borderId="0"/>
    <xf numFmtId="0" fontId="40" fillId="40" borderId="0"/>
    <xf numFmtId="0" fontId="40" fillId="40" borderId="0"/>
    <xf numFmtId="0" fontId="40" fillId="40" borderId="0"/>
    <xf numFmtId="0" fontId="11" fillId="10" borderId="0"/>
    <xf numFmtId="0" fontId="40" fillId="10" borderId="0"/>
    <xf numFmtId="0" fontId="40" fillId="40" borderId="0"/>
    <xf numFmtId="0" fontId="40" fillId="10" borderId="0"/>
    <xf numFmtId="0" fontId="40" fillId="10" borderId="0"/>
    <xf numFmtId="0" fontId="40" fillId="40" borderId="0"/>
    <xf numFmtId="0" fontId="40" fillId="40" borderId="0"/>
    <xf numFmtId="0" fontId="11" fillId="10" borderId="0"/>
    <xf numFmtId="0" fontId="40" fillId="10" borderId="0"/>
    <xf numFmtId="0" fontId="40" fillId="40" borderId="0"/>
    <xf numFmtId="0" fontId="11" fillId="10" borderId="0"/>
    <xf numFmtId="0" fontId="40" fillId="10" borderId="0"/>
    <xf numFmtId="0" fontId="11" fillId="10" borderId="0"/>
    <xf numFmtId="0" fontId="40" fillId="10" borderId="0"/>
    <xf numFmtId="0" fontId="40" fillId="10" borderId="0"/>
    <xf numFmtId="0" fontId="11" fillId="10" borderId="0"/>
    <xf numFmtId="0" fontId="40" fillId="10" borderId="0"/>
    <xf numFmtId="0" fontId="40" fillId="40" borderId="0"/>
    <xf numFmtId="0" fontId="40" fillId="40" borderId="0"/>
    <xf numFmtId="0" fontId="11" fillId="10" borderId="0"/>
    <xf numFmtId="0" fontId="40" fillId="10" borderId="0"/>
    <xf numFmtId="0" fontId="40" fillId="40" borderId="0"/>
    <xf numFmtId="0" fontId="11" fillId="10" borderId="0"/>
    <xf numFmtId="0" fontId="40" fillId="10" borderId="0"/>
    <xf numFmtId="0" fontId="40" fillId="40" borderId="0"/>
    <xf numFmtId="0" fontId="40" fillId="10" borderId="0"/>
    <xf numFmtId="0" fontId="40" fillId="10" borderId="0"/>
    <xf numFmtId="0" fontId="40" fillId="40" borderId="0"/>
    <xf numFmtId="0" fontId="40" fillId="40" borderId="0"/>
    <xf numFmtId="0" fontId="40" fillId="40" borderId="0"/>
    <xf numFmtId="0" fontId="11" fillId="10" borderId="0"/>
    <xf numFmtId="0" fontId="40" fillId="10" borderId="0"/>
    <xf numFmtId="0" fontId="11" fillId="10" borderId="0"/>
    <xf numFmtId="0" fontId="40" fillId="10" borderId="0"/>
    <xf numFmtId="0" fontId="40" fillId="10" borderId="0"/>
    <xf numFmtId="0" fontId="11" fillId="10" borderId="0"/>
    <xf numFmtId="0" fontId="40" fillId="10" borderId="0"/>
    <xf numFmtId="0" fontId="40" fillId="10" borderId="0"/>
    <xf numFmtId="0" fontId="40" fillId="40" borderId="0"/>
    <xf numFmtId="0" fontId="40" fillId="40" borderId="0"/>
    <xf numFmtId="0" fontId="40" fillId="10" borderId="0"/>
    <xf numFmtId="0" fontId="40" fillId="10" borderId="0"/>
    <xf numFmtId="0" fontId="40" fillId="10" borderId="0"/>
    <xf numFmtId="0" fontId="11" fillId="11" borderId="0"/>
    <xf numFmtId="0" fontId="40" fillId="11" borderId="0"/>
    <xf numFmtId="0" fontId="40" fillId="11" borderId="0"/>
    <xf numFmtId="0" fontId="40" fillId="38" borderId="0"/>
    <xf numFmtId="0" fontId="11" fillId="11" borderId="0"/>
    <xf numFmtId="0" fontId="40" fillId="11" borderId="0"/>
    <xf numFmtId="0" fontId="11" fillId="11" borderId="0"/>
    <xf numFmtId="0" fontId="40" fillId="11" borderId="0"/>
    <xf numFmtId="0" fontId="40" fillId="38" borderId="0"/>
    <xf numFmtId="0" fontId="40" fillId="11" borderId="0"/>
    <xf numFmtId="0" fontId="40" fillId="11" borderId="0"/>
    <xf numFmtId="0" fontId="40" fillId="38" borderId="0"/>
    <xf numFmtId="0" fontId="11" fillId="11" borderId="0"/>
    <xf numFmtId="0" fontId="40" fillId="38" borderId="0"/>
    <xf numFmtId="0" fontId="40" fillId="38" borderId="0"/>
    <xf numFmtId="0" fontId="11" fillId="11" borderId="0"/>
    <xf numFmtId="0" fontId="40" fillId="11" borderId="0"/>
    <xf numFmtId="0" fontId="40" fillId="38" borderId="0"/>
    <xf numFmtId="0" fontId="40" fillId="38" borderId="0"/>
    <xf numFmtId="0" fontId="11" fillId="11" borderId="0"/>
    <xf numFmtId="0" fontId="40" fillId="11" borderId="0"/>
    <xf numFmtId="0" fontId="40" fillId="38" borderId="0"/>
    <xf numFmtId="0" fontId="40" fillId="38" borderId="0"/>
    <xf numFmtId="0" fontId="11" fillId="11" borderId="0"/>
    <xf numFmtId="0" fontId="40" fillId="11" borderId="0"/>
    <xf numFmtId="0" fontId="40" fillId="38" borderId="0"/>
    <xf numFmtId="0" fontId="40" fillId="11" borderId="0"/>
    <xf numFmtId="0" fontId="40" fillId="38" borderId="0"/>
    <xf numFmtId="0" fontId="40" fillId="11" borderId="0"/>
    <xf numFmtId="0" fontId="40" fillId="38" borderId="0"/>
    <xf numFmtId="0" fontId="40" fillId="38" borderId="0"/>
    <xf numFmtId="0" fontId="11" fillId="11" borderId="0"/>
    <xf numFmtId="0" fontId="40" fillId="11" borderId="0"/>
    <xf numFmtId="0" fontId="40" fillId="11" borderId="0"/>
    <xf numFmtId="0" fontId="40" fillId="38" borderId="0"/>
    <xf numFmtId="0" fontId="11" fillId="11" borderId="0"/>
    <xf numFmtId="0" fontId="40" fillId="11" borderId="0"/>
    <xf numFmtId="0" fontId="11" fillId="11" borderId="0"/>
    <xf numFmtId="0" fontId="40" fillId="11" borderId="0"/>
    <xf numFmtId="0" fontId="40" fillId="38" borderId="0"/>
    <xf numFmtId="0" fontId="40" fillId="11" borderId="0"/>
    <xf numFmtId="0" fontId="40" fillId="11" borderId="0"/>
    <xf numFmtId="0" fontId="40" fillId="38" borderId="0"/>
    <xf numFmtId="0" fontId="11" fillId="11" borderId="0"/>
    <xf numFmtId="0" fontId="40" fillId="38" borderId="0"/>
    <xf numFmtId="0" fontId="40" fillId="38" borderId="0"/>
    <xf numFmtId="0" fontId="11" fillId="11" borderId="0"/>
    <xf numFmtId="0" fontId="40" fillId="11" borderId="0"/>
    <xf numFmtId="0" fontId="40" fillId="38" borderId="0"/>
    <xf numFmtId="0" fontId="11" fillId="11" borderId="0"/>
    <xf numFmtId="0" fontId="40" fillId="11" borderId="0"/>
    <xf numFmtId="0" fontId="40" fillId="38" borderId="0"/>
    <xf numFmtId="0" fontId="40" fillId="11" borderId="0"/>
    <xf numFmtId="0" fontId="40" fillId="11" borderId="0"/>
    <xf numFmtId="0" fontId="40" fillId="38" borderId="0"/>
    <xf numFmtId="0" fontId="40" fillId="11" borderId="0"/>
    <xf numFmtId="0" fontId="40" fillId="38" borderId="0"/>
    <xf numFmtId="0" fontId="40" fillId="38" borderId="0"/>
    <xf numFmtId="0" fontId="11" fillId="11" borderId="0"/>
    <xf numFmtId="0" fontId="40" fillId="11" borderId="0"/>
    <xf numFmtId="0" fontId="40" fillId="38" borderId="0"/>
    <xf numFmtId="0" fontId="11" fillId="11" borderId="0"/>
    <xf numFmtId="0" fontId="40" fillId="11" borderId="0"/>
    <xf numFmtId="0" fontId="40" fillId="38" borderId="0"/>
    <xf numFmtId="0" fontId="40" fillId="11" borderId="0"/>
    <xf numFmtId="0" fontId="40" fillId="11" borderId="0"/>
    <xf numFmtId="0" fontId="40" fillId="38" borderId="0"/>
    <xf numFmtId="0" fontId="11" fillId="11" borderId="0"/>
    <xf numFmtId="0" fontId="40" fillId="38" borderId="0"/>
    <xf numFmtId="0" fontId="40" fillId="38" borderId="0"/>
    <xf numFmtId="0" fontId="40" fillId="38" borderId="0"/>
    <xf numFmtId="0" fontId="40" fillId="38" borderId="0"/>
    <xf numFmtId="0" fontId="40" fillId="38" borderId="0"/>
    <xf numFmtId="0" fontId="40" fillId="38" borderId="0"/>
    <xf numFmtId="0" fontId="11" fillId="12" borderId="0"/>
    <xf numFmtId="0" fontId="40" fillId="12" borderId="0"/>
    <xf numFmtId="0" fontId="40" fillId="12" borderId="0"/>
    <xf numFmtId="0" fontId="40" fillId="37" borderId="0"/>
    <xf numFmtId="0" fontId="11" fillId="12" borderId="0"/>
    <xf numFmtId="0" fontId="40" fillId="12" borderId="0"/>
    <xf numFmtId="0" fontId="11" fillId="12" borderId="0"/>
    <xf numFmtId="0" fontId="40" fillId="12" borderId="0"/>
    <xf numFmtId="0" fontId="40" fillId="37" borderId="0"/>
    <xf numFmtId="0" fontId="40" fillId="12" borderId="0"/>
    <xf numFmtId="0" fontId="40" fillId="12" borderId="0"/>
    <xf numFmtId="0" fontId="40" fillId="37" borderId="0"/>
    <xf numFmtId="0" fontId="11" fillId="12" borderId="0"/>
    <xf numFmtId="0" fontId="40" fillId="37" borderId="0"/>
    <xf numFmtId="0" fontId="40" fillId="37" borderId="0"/>
    <xf numFmtId="0" fontId="11" fillId="12" borderId="0"/>
    <xf numFmtId="0" fontId="40" fillId="12" borderId="0"/>
    <xf numFmtId="0" fontId="40" fillId="37" borderId="0"/>
    <xf numFmtId="0" fontId="40" fillId="37" borderId="0"/>
    <xf numFmtId="0" fontId="11" fillId="12" borderId="0"/>
    <xf numFmtId="0" fontId="40" fillId="12" borderId="0"/>
    <xf numFmtId="0" fontId="40" fillId="37" borderId="0"/>
    <xf numFmtId="0" fontId="40" fillId="37" borderId="0"/>
    <xf numFmtId="0" fontId="11" fillId="12" borderId="0"/>
    <xf numFmtId="0" fontId="40" fillId="12" borderId="0"/>
    <xf numFmtId="0" fontId="40" fillId="37" borderId="0"/>
    <xf numFmtId="0" fontId="40" fillId="12" borderId="0"/>
    <xf numFmtId="0" fontId="40" fillId="37" borderId="0"/>
    <xf numFmtId="0" fontId="40" fillId="12" borderId="0"/>
    <xf numFmtId="0" fontId="40" fillId="37" borderId="0"/>
    <xf numFmtId="0" fontId="40" fillId="37" borderId="0"/>
    <xf numFmtId="0" fontId="11" fillId="12" borderId="0"/>
    <xf numFmtId="0" fontId="40" fillId="12" borderId="0"/>
    <xf numFmtId="0" fontId="40" fillId="12" borderId="0"/>
    <xf numFmtId="0" fontId="40" fillId="37" borderId="0"/>
    <xf numFmtId="0" fontId="11" fillId="12" borderId="0"/>
    <xf numFmtId="0" fontId="40" fillId="12" borderId="0"/>
    <xf numFmtId="0" fontId="11" fillId="12" borderId="0"/>
    <xf numFmtId="0" fontId="40" fillId="12" borderId="0"/>
    <xf numFmtId="0" fontId="40" fillId="37" borderId="0"/>
    <xf numFmtId="0" fontId="40" fillId="12" borderId="0"/>
    <xf numFmtId="0" fontId="40" fillId="12" borderId="0"/>
    <xf numFmtId="0" fontId="40" fillId="37" borderId="0"/>
    <xf numFmtId="0" fontId="11" fillId="12" borderId="0"/>
    <xf numFmtId="0" fontId="40" fillId="37" borderId="0"/>
    <xf numFmtId="0" fontId="40" fillId="37" borderId="0"/>
    <xf numFmtId="0" fontId="11" fillId="12" borderId="0"/>
    <xf numFmtId="0" fontId="40" fillId="12" borderId="0"/>
    <xf numFmtId="0" fontId="40" fillId="37" borderId="0"/>
    <xf numFmtId="0" fontId="11" fillId="12" borderId="0"/>
    <xf numFmtId="0" fontId="40" fillId="12" borderId="0"/>
    <xf numFmtId="0" fontId="40" fillId="37" borderId="0"/>
    <xf numFmtId="0" fontId="40" fillId="12" borderId="0"/>
    <xf numFmtId="0" fontId="40" fillId="12" borderId="0"/>
    <xf numFmtId="0" fontId="40" fillId="37" borderId="0"/>
    <xf numFmtId="0" fontId="40" fillId="12" borderId="0"/>
    <xf numFmtId="0" fontId="40" fillId="37" borderId="0"/>
    <xf numFmtId="0" fontId="40" fillId="37" borderId="0"/>
    <xf numFmtId="0" fontId="11" fillId="12" borderId="0"/>
    <xf numFmtId="0" fontId="40" fillId="12" borderId="0"/>
    <xf numFmtId="0" fontId="40" fillId="37" borderId="0"/>
    <xf numFmtId="0" fontId="11" fillId="12" borderId="0"/>
    <xf numFmtId="0" fontId="40" fillId="12" borderId="0"/>
    <xf numFmtId="0" fontId="40" fillId="37" borderId="0"/>
    <xf numFmtId="0" fontId="40" fillId="12" borderId="0"/>
    <xf numFmtId="0" fontId="40" fillId="12" borderId="0"/>
    <xf numFmtId="0" fontId="40" fillId="37" borderId="0"/>
    <xf numFmtId="0" fontId="11" fillId="12" borderId="0"/>
    <xf numFmtId="0" fontId="40" fillId="37" borderId="0"/>
    <xf numFmtId="0" fontId="40" fillId="37" borderId="0"/>
    <xf numFmtId="0" fontId="40" fillId="37" borderId="0"/>
    <xf numFmtId="0" fontId="40" fillId="37" borderId="0"/>
    <xf numFmtId="0" fontId="40" fillId="37" borderId="0"/>
    <xf numFmtId="0" fontId="40" fillId="37" borderId="0"/>
    <xf numFmtId="0" fontId="11" fillId="13" borderId="0"/>
    <xf numFmtId="0" fontId="40" fillId="13" borderId="0"/>
    <xf numFmtId="0" fontId="40" fillId="13" borderId="0"/>
    <xf numFmtId="0" fontId="40" fillId="35" borderId="0"/>
    <xf numFmtId="0" fontId="11" fillId="13" borderId="0"/>
    <xf numFmtId="0" fontId="40" fillId="13" borderId="0"/>
    <xf numFmtId="0" fontId="11" fillId="13" borderId="0"/>
    <xf numFmtId="0" fontId="40" fillId="13" borderId="0"/>
    <xf numFmtId="0" fontId="40" fillId="35" borderId="0"/>
    <xf numFmtId="0" fontId="40" fillId="13" borderId="0"/>
    <xf numFmtId="0" fontId="40" fillId="13" borderId="0"/>
    <xf numFmtId="0" fontId="40" fillId="35" borderId="0"/>
    <xf numFmtId="0" fontId="11" fillId="13" borderId="0"/>
    <xf numFmtId="0" fontId="40" fillId="35" borderId="0"/>
    <xf numFmtId="0" fontId="40" fillId="35" borderId="0"/>
    <xf numFmtId="0" fontId="11" fillId="13" borderId="0"/>
    <xf numFmtId="0" fontId="40" fillId="13" borderId="0"/>
    <xf numFmtId="0" fontId="40" fillId="35" borderId="0"/>
    <xf numFmtId="0" fontId="40" fillId="35" borderId="0"/>
    <xf numFmtId="0" fontId="11" fillId="13" borderId="0"/>
    <xf numFmtId="0" fontId="40" fillId="13" borderId="0"/>
    <xf numFmtId="0" fontId="40" fillId="35" borderId="0"/>
    <xf numFmtId="0" fontId="40" fillId="35" borderId="0"/>
    <xf numFmtId="0" fontId="11" fillId="13" borderId="0"/>
    <xf numFmtId="0" fontId="40" fillId="13" borderId="0"/>
    <xf numFmtId="0" fontId="40" fillId="35" borderId="0"/>
    <xf numFmtId="0" fontId="40" fillId="13" borderId="0"/>
    <xf numFmtId="0" fontId="40" fillId="35" borderId="0"/>
    <xf numFmtId="0" fontId="40" fillId="13" borderId="0"/>
    <xf numFmtId="0" fontId="40" fillId="35" borderId="0"/>
    <xf numFmtId="0" fontId="40" fillId="35" borderId="0"/>
    <xf numFmtId="0" fontId="11" fillId="13" borderId="0"/>
    <xf numFmtId="0" fontId="40" fillId="13" borderId="0"/>
    <xf numFmtId="0" fontId="40" fillId="13" borderId="0"/>
    <xf numFmtId="0" fontId="40" fillId="35" borderId="0"/>
    <xf numFmtId="0" fontId="11" fillId="13" borderId="0"/>
    <xf numFmtId="0" fontId="40" fillId="13" borderId="0"/>
    <xf numFmtId="0" fontId="11" fillId="13" borderId="0"/>
    <xf numFmtId="0" fontId="40" fillId="13" borderId="0"/>
    <xf numFmtId="0" fontId="40" fillId="35" borderId="0"/>
    <xf numFmtId="0" fontId="40" fillId="13" borderId="0"/>
    <xf numFmtId="0" fontId="40" fillId="13" borderId="0"/>
    <xf numFmtId="0" fontId="40" fillId="35" borderId="0"/>
    <xf numFmtId="0" fontId="11" fillId="13" borderId="0"/>
    <xf numFmtId="0" fontId="40" fillId="35" borderId="0"/>
    <xf numFmtId="0" fontId="40" fillId="35" borderId="0"/>
    <xf numFmtId="0" fontId="11" fillId="13" borderId="0"/>
    <xf numFmtId="0" fontId="40" fillId="13" borderId="0"/>
    <xf numFmtId="0" fontId="40" fillId="35" borderId="0"/>
    <xf numFmtId="0" fontId="11" fillId="13" borderId="0"/>
    <xf numFmtId="0" fontId="40" fillId="13" borderId="0"/>
    <xf numFmtId="0" fontId="40" fillId="35" borderId="0"/>
    <xf numFmtId="0" fontId="40" fillId="13" borderId="0"/>
    <xf numFmtId="0" fontId="40" fillId="13" borderId="0"/>
    <xf numFmtId="0" fontId="40" fillId="35" borderId="0"/>
    <xf numFmtId="0" fontId="40" fillId="13" borderId="0"/>
    <xf numFmtId="0" fontId="40" fillId="35" borderId="0"/>
    <xf numFmtId="0" fontId="40" fillId="35" borderId="0"/>
    <xf numFmtId="0" fontId="11" fillId="13" borderId="0"/>
    <xf numFmtId="0" fontId="40" fillId="13" borderId="0"/>
    <xf numFmtId="0" fontId="40" fillId="35" borderId="0"/>
    <xf numFmtId="0" fontId="11" fillId="13" borderId="0"/>
    <xf numFmtId="0" fontId="40" fillId="13" borderId="0"/>
    <xf numFmtId="0" fontId="40" fillId="35" borderId="0"/>
    <xf numFmtId="0" fontId="40" fillId="13" borderId="0"/>
    <xf numFmtId="0" fontId="40" fillId="13" borderId="0"/>
    <xf numFmtId="0" fontId="40" fillId="35" borderId="0"/>
    <xf numFmtId="0" fontId="11" fillId="13" borderId="0"/>
    <xf numFmtId="0" fontId="40" fillId="35" borderId="0"/>
    <xf numFmtId="0" fontId="40" fillId="35" borderId="0"/>
    <xf numFmtId="0" fontId="40" fillId="35" borderId="0"/>
    <xf numFmtId="0" fontId="40" fillId="35" borderId="0"/>
    <xf numFmtId="0" fontId="40" fillId="35" borderId="0"/>
    <xf numFmtId="0" fontId="40" fillId="35" borderId="0"/>
    <xf numFmtId="0" fontId="40" fillId="8" borderId="0"/>
    <xf numFmtId="0" fontId="40" fillId="37" borderId="0" applyAlignment="1">
      <alignment vertical="center"/>
    </xf>
    <xf numFmtId="0" fontId="11" fillId="8" borderId="0"/>
    <xf numFmtId="0" fontId="40" fillId="8" borderId="0"/>
    <xf numFmtId="0" fontId="11" fillId="8" borderId="0"/>
    <xf numFmtId="0" fontId="40" fillId="8" borderId="0"/>
    <xf numFmtId="0" fontId="40" fillId="37" borderId="0" applyAlignment="1">
      <alignment vertical="center"/>
    </xf>
    <xf numFmtId="0" fontId="40" fillId="8" borderId="0"/>
    <xf numFmtId="0" fontId="40" fillId="8" borderId="0"/>
    <xf numFmtId="0" fontId="40" fillId="37" borderId="0" applyAlignment="1">
      <alignment vertical="center"/>
    </xf>
    <xf numFmtId="0" fontId="11" fillId="8" borderId="0"/>
    <xf numFmtId="0" fontId="40" fillId="37" borderId="0"/>
    <xf numFmtId="0" fontId="40" fillId="37" borderId="0"/>
    <xf numFmtId="0" fontId="40" fillId="9" borderId="0"/>
    <xf numFmtId="0" fontId="11" fillId="9" borderId="0"/>
    <xf numFmtId="0" fontId="40" fillId="9" borderId="0"/>
    <xf numFmtId="0" fontId="11" fillId="9" borderId="0"/>
    <xf numFmtId="0" fontId="40" fillId="9" borderId="0"/>
    <xf numFmtId="0" fontId="40" fillId="9" borderId="0" applyAlignment="1">
      <alignment vertical="center"/>
    </xf>
    <xf numFmtId="0" fontId="40" fillId="9" borderId="0"/>
    <xf numFmtId="0" fontId="40" fillId="9" borderId="0"/>
    <xf numFmtId="0" fontId="40" fillId="9" borderId="0" applyAlignment="1">
      <alignment vertical="center"/>
    </xf>
    <xf numFmtId="0" fontId="11" fillId="9" borderId="0"/>
    <xf numFmtId="0" fontId="40" fillId="9" borderId="0"/>
    <xf numFmtId="0" fontId="40" fillId="10" borderId="0"/>
    <xf numFmtId="0" fontId="40" fillId="40" borderId="0" applyAlignment="1">
      <alignment vertical="center"/>
    </xf>
    <xf numFmtId="0" fontId="11" fillId="10" borderId="0"/>
    <xf numFmtId="0" fontId="40" fillId="10" borderId="0"/>
    <xf numFmtId="0" fontId="11" fillId="10" borderId="0"/>
    <xf numFmtId="0" fontId="40" fillId="10" borderId="0"/>
    <xf numFmtId="0" fontId="40" fillId="10" borderId="0" applyAlignment="1">
      <alignment vertical="center"/>
    </xf>
    <xf numFmtId="0" fontId="40" fillId="10" borderId="0"/>
    <xf numFmtId="0" fontId="40" fillId="10" borderId="0"/>
    <xf numFmtId="0" fontId="40" fillId="10" borderId="0" applyAlignment="1">
      <alignment vertical="center"/>
    </xf>
    <xf numFmtId="0" fontId="11" fillId="10" borderId="0"/>
    <xf numFmtId="0" fontId="40" fillId="10" borderId="0"/>
    <xf numFmtId="0" fontId="40" fillId="40" borderId="0"/>
    <xf numFmtId="0" fontId="40" fillId="11" borderId="0"/>
    <xf numFmtId="0" fontId="40" fillId="38" borderId="0" applyAlignment="1">
      <alignment vertical="center"/>
    </xf>
    <xf numFmtId="0" fontId="11" fillId="11" borderId="0"/>
    <xf numFmtId="0" fontId="40" fillId="11" borderId="0"/>
    <xf numFmtId="0" fontId="11" fillId="11" borderId="0"/>
    <xf numFmtId="0" fontId="40" fillId="11" borderId="0"/>
    <xf numFmtId="0" fontId="40" fillId="38" borderId="0" applyAlignment="1">
      <alignment vertical="center"/>
    </xf>
    <xf numFmtId="0" fontId="40" fillId="11" borderId="0"/>
    <xf numFmtId="0" fontId="40" fillId="11" borderId="0"/>
    <xf numFmtId="0" fontId="40" fillId="38" borderId="0" applyAlignment="1">
      <alignment vertical="center"/>
    </xf>
    <xf numFmtId="0" fontId="11" fillId="11" borderId="0"/>
    <xf numFmtId="0" fontId="40" fillId="38" borderId="0"/>
    <xf numFmtId="0" fontId="40" fillId="38" borderId="0"/>
    <xf numFmtId="0" fontId="40" fillId="12" borderId="0"/>
    <xf numFmtId="0" fontId="40" fillId="37" borderId="0" applyAlignment="1">
      <alignment vertical="center"/>
    </xf>
    <xf numFmtId="0" fontId="11" fillId="12" borderId="0"/>
    <xf numFmtId="0" fontId="40" fillId="12" borderId="0"/>
    <xf numFmtId="0" fontId="11" fillId="12" borderId="0"/>
    <xf numFmtId="0" fontId="40" fillId="12" borderId="0"/>
    <xf numFmtId="0" fontId="40" fillId="37" borderId="0" applyAlignment="1">
      <alignment vertical="center"/>
    </xf>
    <xf numFmtId="0" fontId="40" fillId="12" borderId="0"/>
    <xf numFmtId="0" fontId="40" fillId="12" borderId="0"/>
    <xf numFmtId="0" fontId="40" fillId="37" borderId="0" applyAlignment="1">
      <alignment vertical="center"/>
    </xf>
    <xf numFmtId="0" fontId="11" fillId="12" borderId="0"/>
    <xf numFmtId="0" fontId="40" fillId="37" borderId="0"/>
    <xf numFmtId="0" fontId="40" fillId="37" borderId="0"/>
    <xf numFmtId="0" fontId="40" fillId="13" borderId="0"/>
    <xf numFmtId="0" fontId="40" fillId="35" borderId="0" applyAlignment="1">
      <alignment vertical="center"/>
    </xf>
    <xf numFmtId="0" fontId="11" fillId="13" borderId="0"/>
    <xf numFmtId="0" fontId="40" fillId="13" borderId="0"/>
    <xf numFmtId="0" fontId="11" fillId="13" borderId="0"/>
    <xf numFmtId="0" fontId="40" fillId="13" borderId="0"/>
    <xf numFmtId="0" fontId="40" fillId="35" borderId="0" applyAlignment="1">
      <alignment vertical="center"/>
    </xf>
    <xf numFmtId="0" fontId="40" fillId="13" borderId="0"/>
    <xf numFmtId="0" fontId="40" fillId="13" borderId="0"/>
    <xf numFmtId="0" fontId="40" fillId="35" borderId="0" applyAlignment="1">
      <alignment vertical="center"/>
    </xf>
    <xf numFmtId="0" fontId="11" fillId="13" borderId="0"/>
    <xf numFmtId="0" fontId="40" fillId="35" borderId="0"/>
    <xf numFmtId="0" fontId="40" fillId="35" borderId="0"/>
    <xf numFmtId="0" fontId="42" fillId="37" borderId="0"/>
    <xf numFmtId="0" fontId="42" fillId="37" borderId="0"/>
    <xf numFmtId="0" fontId="42" fillId="37" borderId="0"/>
    <xf numFmtId="0" fontId="42" fillId="37" borderId="0"/>
    <xf numFmtId="0" fontId="42" fillId="37" borderId="0"/>
    <xf numFmtId="0" fontId="42" fillId="37" borderId="0"/>
    <xf numFmtId="0" fontId="42" fillId="37" borderId="0"/>
    <xf numFmtId="0" fontId="42" fillId="37" borderId="0"/>
    <xf numFmtId="0" fontId="42" fillId="37" borderId="0"/>
    <xf numFmtId="0" fontId="42" fillId="37" borderId="0"/>
    <xf numFmtId="0" fontId="42" fillId="37" borderId="0"/>
    <xf numFmtId="0" fontId="42" fillId="37" borderId="0"/>
    <xf numFmtId="0" fontId="42" fillId="37" borderId="0"/>
    <xf numFmtId="0" fontId="42" fillId="37" borderId="0"/>
    <xf numFmtId="0" fontId="42" fillId="37" borderId="0"/>
    <xf numFmtId="0" fontId="42" fillId="37" borderId="0"/>
    <xf numFmtId="0" fontId="42" fillId="37" borderId="0"/>
    <xf numFmtId="0" fontId="42" fillId="37" borderId="0"/>
    <xf numFmtId="0" fontId="42" fillId="37" borderId="0"/>
    <xf numFmtId="0" fontId="42" fillId="42" borderId="0"/>
    <xf numFmtId="0" fontId="42" fillId="42" borderId="0"/>
    <xf numFmtId="0" fontId="42" fillId="42" borderId="0"/>
    <xf numFmtId="0" fontId="42" fillId="42" borderId="0"/>
    <xf numFmtId="0" fontId="42" fillId="42" borderId="0"/>
    <xf numFmtId="0" fontId="42" fillId="42" borderId="0"/>
    <xf numFmtId="0" fontId="42" fillId="42" borderId="0"/>
    <xf numFmtId="0" fontId="42" fillId="42" borderId="0"/>
    <xf numFmtId="0" fontId="42" fillId="42" borderId="0"/>
    <xf numFmtId="0" fontId="42" fillId="42" borderId="0"/>
    <xf numFmtId="0" fontId="42" fillId="42" borderId="0"/>
    <xf numFmtId="0" fontId="42" fillId="42" borderId="0"/>
    <xf numFmtId="0" fontId="42" fillId="42" borderId="0"/>
    <xf numFmtId="0" fontId="42" fillId="42" borderId="0"/>
    <xf numFmtId="0" fontId="42" fillId="42" borderId="0"/>
    <xf numFmtId="0" fontId="42" fillId="42" borderId="0"/>
    <xf numFmtId="0" fontId="42" fillId="42" borderId="0"/>
    <xf numFmtId="0" fontId="42" fillId="42" borderId="0"/>
    <xf numFmtId="0" fontId="42" fillId="42" borderId="0"/>
    <xf numFmtId="0" fontId="42" fillId="41" borderId="0"/>
    <xf numFmtId="0" fontId="42" fillId="41" borderId="0"/>
    <xf numFmtId="0" fontId="42" fillId="41" borderId="0"/>
    <xf numFmtId="0" fontId="42" fillId="41" borderId="0"/>
    <xf numFmtId="0" fontId="42" fillId="41" borderId="0"/>
    <xf numFmtId="0" fontId="42" fillId="41" borderId="0"/>
    <xf numFmtId="0" fontId="42" fillId="41" borderId="0"/>
    <xf numFmtId="0" fontId="42" fillId="41" borderId="0"/>
    <xf numFmtId="0" fontId="42" fillId="41" borderId="0"/>
    <xf numFmtId="0" fontId="42" fillId="41" borderId="0"/>
    <xf numFmtId="0" fontId="42" fillId="41" borderId="0"/>
    <xf numFmtId="0" fontId="42" fillId="41" borderId="0"/>
    <xf numFmtId="0" fontId="42" fillId="41" borderId="0"/>
    <xf numFmtId="0" fontId="42" fillId="41" borderId="0"/>
    <xf numFmtId="0" fontId="42" fillId="41" borderId="0"/>
    <xf numFmtId="0" fontId="42" fillId="41" borderId="0"/>
    <xf numFmtId="0" fontId="42" fillId="41" borderId="0"/>
    <xf numFmtId="0" fontId="42" fillId="41" borderId="0"/>
    <xf numFmtId="0" fontId="42" fillId="41" borderId="0"/>
    <xf numFmtId="0" fontId="42" fillId="38" borderId="0"/>
    <xf numFmtId="0" fontId="42" fillId="38" borderId="0"/>
    <xf numFmtId="0" fontId="42" fillId="38" borderId="0"/>
    <xf numFmtId="0" fontId="42" fillId="38" borderId="0"/>
    <xf numFmtId="0" fontId="42" fillId="38" borderId="0"/>
    <xf numFmtId="0" fontId="42" fillId="38" borderId="0"/>
    <xf numFmtId="0" fontId="42" fillId="38" borderId="0"/>
    <xf numFmtId="0" fontId="42" fillId="38" borderId="0"/>
    <xf numFmtId="0" fontId="42" fillId="38" borderId="0"/>
    <xf numFmtId="0" fontId="42" fillId="38" borderId="0"/>
    <xf numFmtId="0" fontId="42" fillId="38" borderId="0"/>
    <xf numFmtId="0" fontId="42" fillId="38" borderId="0"/>
    <xf numFmtId="0" fontId="42" fillId="38" borderId="0"/>
    <xf numFmtId="0" fontId="42" fillId="38" borderId="0"/>
    <xf numFmtId="0" fontId="42" fillId="38" borderId="0"/>
    <xf numFmtId="0" fontId="42" fillId="38" borderId="0"/>
    <xf numFmtId="0" fontId="42" fillId="38" borderId="0"/>
    <xf numFmtId="0" fontId="42" fillId="38" borderId="0"/>
    <xf numFmtId="0" fontId="42" fillId="38" borderId="0"/>
    <xf numFmtId="0" fontId="42" fillId="37" borderId="0"/>
    <xf numFmtId="0" fontId="42" fillId="37" borderId="0"/>
    <xf numFmtId="0" fontId="42" fillId="37" borderId="0"/>
    <xf numFmtId="0" fontId="42" fillId="37" borderId="0"/>
    <xf numFmtId="0" fontId="42" fillId="37" borderId="0"/>
    <xf numFmtId="0" fontId="42" fillId="37" borderId="0"/>
    <xf numFmtId="0" fontId="42" fillId="37" borderId="0"/>
    <xf numFmtId="0" fontId="42" fillId="37" borderId="0"/>
    <xf numFmtId="0" fontId="42" fillId="37" borderId="0"/>
    <xf numFmtId="0" fontId="42" fillId="37" borderId="0"/>
    <xf numFmtId="0" fontId="42" fillId="37" borderId="0"/>
    <xf numFmtId="0" fontId="42" fillId="37" borderId="0"/>
    <xf numFmtId="0" fontId="42" fillId="37" borderId="0"/>
    <xf numFmtId="0" fontId="42" fillId="37" borderId="0"/>
    <xf numFmtId="0" fontId="42" fillId="37" borderId="0"/>
    <xf numFmtId="0" fontId="42" fillId="37" borderId="0"/>
    <xf numFmtId="0" fontId="42" fillId="37" borderId="0"/>
    <xf numFmtId="0" fontId="42" fillId="37" borderId="0"/>
    <xf numFmtId="0" fontId="42" fillId="37" borderId="0"/>
    <xf numFmtId="0" fontId="42" fillId="34" borderId="0"/>
    <xf numFmtId="0" fontId="42" fillId="34" borderId="0"/>
    <xf numFmtId="0" fontId="42" fillId="34" borderId="0"/>
    <xf numFmtId="0" fontId="42" fillId="34" borderId="0"/>
    <xf numFmtId="0" fontId="42" fillId="34" borderId="0"/>
    <xf numFmtId="0" fontId="42" fillId="34" borderId="0"/>
    <xf numFmtId="0" fontId="42" fillId="34" borderId="0"/>
    <xf numFmtId="0" fontId="42" fillId="34" borderId="0"/>
    <xf numFmtId="0" fontId="42" fillId="34" borderId="0"/>
    <xf numFmtId="0" fontId="42" fillId="34" borderId="0"/>
    <xf numFmtId="0" fontId="42" fillId="34" borderId="0"/>
    <xf numFmtId="0" fontId="42" fillId="34" borderId="0"/>
    <xf numFmtId="0" fontId="42" fillId="34" borderId="0"/>
    <xf numFmtId="0" fontId="42" fillId="34" borderId="0"/>
    <xf numFmtId="0" fontId="42" fillId="34" borderId="0"/>
    <xf numFmtId="0" fontId="42" fillId="34" borderId="0"/>
    <xf numFmtId="0" fontId="42" fillId="34" borderId="0"/>
    <xf numFmtId="0" fontId="42" fillId="34" borderId="0"/>
    <xf numFmtId="0" fontId="42" fillId="34" borderId="0"/>
    <xf numFmtId="0" fontId="42" fillId="14" borderId="0"/>
    <xf numFmtId="0" fontId="42" fillId="37" borderId="0" applyAlignment="1">
      <alignment vertical="center"/>
    </xf>
    <xf numFmtId="0" fontId="12" fillId="14" borderId="0"/>
    <xf numFmtId="0" fontId="42" fillId="14" borderId="0"/>
    <xf numFmtId="0" fontId="12" fillId="14" borderId="0"/>
    <xf numFmtId="0" fontId="42" fillId="14" borderId="0"/>
    <xf numFmtId="0" fontId="42" fillId="37" borderId="0" applyAlignment="1">
      <alignment vertical="center"/>
    </xf>
    <xf numFmtId="0" fontId="42" fillId="14" borderId="0"/>
    <xf numFmtId="0" fontId="42" fillId="14" borderId="0"/>
    <xf numFmtId="0" fontId="42" fillId="37" borderId="0" applyAlignment="1">
      <alignment vertical="center"/>
    </xf>
    <xf numFmtId="0" fontId="12" fillId="14" borderId="0"/>
    <xf numFmtId="0" fontId="42" fillId="37" borderId="0"/>
    <xf numFmtId="0" fontId="42" fillId="37" borderId="0"/>
    <xf numFmtId="0" fontId="42" fillId="15" borderId="0"/>
    <xf numFmtId="0" fontId="42" fillId="42" borderId="0" applyAlignment="1">
      <alignment vertical="center"/>
    </xf>
    <xf numFmtId="0" fontId="12" fillId="15" borderId="0"/>
    <xf numFmtId="0" fontId="42" fillId="15" borderId="0"/>
    <xf numFmtId="0" fontId="12" fillId="15" borderId="0"/>
    <xf numFmtId="0" fontId="42" fillId="15" borderId="0"/>
    <xf numFmtId="0" fontId="42" fillId="42" borderId="0" applyAlignment="1">
      <alignment vertical="center"/>
    </xf>
    <xf numFmtId="0" fontId="42" fillId="15" borderId="0"/>
    <xf numFmtId="0" fontId="42" fillId="15" borderId="0"/>
    <xf numFmtId="0" fontId="42" fillId="42" borderId="0" applyAlignment="1">
      <alignment vertical="center"/>
    </xf>
    <xf numFmtId="0" fontId="12" fillId="15" borderId="0"/>
    <xf numFmtId="0" fontId="42" fillId="42" borderId="0"/>
    <xf numFmtId="0" fontId="42" fillId="42" borderId="0"/>
    <xf numFmtId="0" fontId="42" fillId="16" borderId="0"/>
    <xf numFmtId="0" fontId="42" fillId="41" borderId="0" applyAlignment="1">
      <alignment vertical="center"/>
    </xf>
    <xf numFmtId="0" fontId="12" fillId="16" borderId="0"/>
    <xf numFmtId="0" fontId="42" fillId="16" borderId="0"/>
    <xf numFmtId="0" fontId="12" fillId="16" borderId="0"/>
    <xf numFmtId="0" fontId="42" fillId="16" borderId="0"/>
    <xf numFmtId="0" fontId="42" fillId="41" borderId="0" applyAlignment="1">
      <alignment vertical="center"/>
    </xf>
    <xf numFmtId="0" fontId="42" fillId="16" borderId="0"/>
    <xf numFmtId="0" fontId="42" fillId="16" borderId="0"/>
    <xf numFmtId="0" fontId="42" fillId="41" borderId="0" applyAlignment="1">
      <alignment vertical="center"/>
    </xf>
    <xf numFmtId="0" fontId="12" fillId="16" borderId="0"/>
    <xf numFmtId="0" fontId="42" fillId="41" borderId="0"/>
    <xf numFmtId="0" fontId="42" fillId="41" borderId="0"/>
    <xf numFmtId="0" fontId="42" fillId="17" borderId="0"/>
    <xf numFmtId="0" fontId="42" fillId="38" borderId="0" applyAlignment="1">
      <alignment vertical="center"/>
    </xf>
    <xf numFmtId="0" fontId="12" fillId="17" borderId="0"/>
    <xf numFmtId="0" fontId="42" fillId="17" borderId="0"/>
    <xf numFmtId="0" fontId="12" fillId="17" borderId="0"/>
    <xf numFmtId="0" fontId="42" fillId="17" borderId="0"/>
    <xf numFmtId="0" fontId="42" fillId="38" borderId="0" applyAlignment="1">
      <alignment vertical="center"/>
    </xf>
    <xf numFmtId="0" fontId="42" fillId="17" borderId="0"/>
    <xf numFmtId="0" fontId="42" fillId="17" borderId="0"/>
    <xf numFmtId="0" fontId="42" fillId="38" borderId="0" applyAlignment="1">
      <alignment vertical="center"/>
    </xf>
    <xf numFmtId="0" fontId="12" fillId="17" borderId="0"/>
    <xf numFmtId="0" fontId="42" fillId="38" borderId="0"/>
    <xf numFmtId="0" fontId="42" fillId="38" borderId="0"/>
    <xf numFmtId="0" fontId="42" fillId="18" borderId="0"/>
    <xf numFmtId="0" fontId="42" fillId="37" borderId="0" applyAlignment="1">
      <alignment vertical="center"/>
    </xf>
    <xf numFmtId="0" fontId="12" fillId="18" borderId="0"/>
    <xf numFmtId="0" fontId="42" fillId="18" borderId="0"/>
    <xf numFmtId="0" fontId="12" fillId="18" borderId="0"/>
    <xf numFmtId="0" fontId="42" fillId="18" borderId="0"/>
    <xf numFmtId="0" fontId="42" fillId="37" borderId="0" applyAlignment="1">
      <alignment vertical="center"/>
    </xf>
    <xf numFmtId="0" fontId="42" fillId="18" borderId="0"/>
    <xf numFmtId="0" fontId="42" fillId="18" borderId="0"/>
    <xf numFmtId="0" fontId="42" fillId="37" borderId="0" applyAlignment="1">
      <alignment vertical="center"/>
    </xf>
    <xf numFmtId="0" fontId="12" fillId="18" borderId="0"/>
    <xf numFmtId="0" fontId="42" fillId="37" borderId="0"/>
    <xf numFmtId="0" fontId="42" fillId="37" borderId="0"/>
    <xf numFmtId="0" fontId="42" fillId="19" borderId="0"/>
    <xf numFmtId="0" fontId="42" fillId="34" borderId="0" applyAlignment="1">
      <alignment vertical="center"/>
    </xf>
    <xf numFmtId="0" fontId="12" fillId="19" borderId="0"/>
    <xf numFmtId="0" fontId="42" fillId="19" borderId="0"/>
    <xf numFmtId="0" fontId="12" fillId="19" borderId="0"/>
    <xf numFmtId="0" fontId="42" fillId="19" borderId="0"/>
    <xf numFmtId="0" fontId="42" fillId="34" borderId="0" applyAlignment="1">
      <alignment vertical="center"/>
    </xf>
    <xf numFmtId="0" fontId="42" fillId="19" borderId="0"/>
    <xf numFmtId="0" fontId="42" fillId="19" borderId="0"/>
    <xf numFmtId="0" fontId="42" fillId="34" borderId="0" applyAlignment="1">
      <alignment vertical="center"/>
    </xf>
    <xf numFmtId="0" fontId="12" fillId="19" borderId="0"/>
    <xf numFmtId="0" fontId="42" fillId="34" borderId="0"/>
    <xf numFmtId="0" fontId="42" fillId="34" borderId="0"/>
    <xf numFmtId="0" fontId="42" fillId="43" borderId="0"/>
    <xf numFmtId="0" fontId="42" fillId="43" borderId="0"/>
    <xf numFmtId="0" fontId="42" fillId="43" borderId="0"/>
    <xf numFmtId="0" fontId="42" fillId="43" borderId="0"/>
    <xf numFmtId="0" fontId="42" fillId="43" borderId="0"/>
    <xf numFmtId="0" fontId="42" fillId="43" borderId="0"/>
    <xf numFmtId="0" fontId="42" fillId="43" borderId="0"/>
    <xf numFmtId="0" fontId="42" fillId="43" borderId="0"/>
    <xf numFmtId="0" fontId="42" fillId="43" borderId="0"/>
    <xf numFmtId="0" fontId="42" fillId="43" borderId="0"/>
    <xf numFmtId="0" fontId="42" fillId="43" borderId="0"/>
    <xf numFmtId="0" fontId="42" fillId="43" borderId="0"/>
    <xf numFmtId="0" fontId="42" fillId="43" borderId="0"/>
    <xf numFmtId="0" fontId="42" fillId="43" borderId="0"/>
    <xf numFmtId="0" fontId="42" fillId="43" borderId="0"/>
    <xf numFmtId="0" fontId="42" fillId="43" borderId="0"/>
    <xf numFmtId="0" fontId="42" fillId="43" borderId="0"/>
    <xf numFmtId="0" fontId="42" fillId="43" borderId="0"/>
    <xf numFmtId="0" fontId="42" fillId="43" borderId="0"/>
    <xf numFmtId="0" fontId="42" fillId="42" borderId="0"/>
    <xf numFmtId="0" fontId="42" fillId="42" borderId="0"/>
    <xf numFmtId="0" fontId="42" fillId="42" borderId="0"/>
    <xf numFmtId="0" fontId="42" fillId="42" borderId="0"/>
    <xf numFmtId="0" fontId="42" fillId="42" borderId="0"/>
    <xf numFmtId="0" fontId="42" fillId="42" borderId="0"/>
    <xf numFmtId="0" fontId="42" fillId="42" borderId="0"/>
    <xf numFmtId="0" fontId="42" fillId="42" borderId="0"/>
    <xf numFmtId="0" fontId="42" fillId="42" borderId="0"/>
    <xf numFmtId="0" fontId="42" fillId="42" borderId="0"/>
    <xf numFmtId="0" fontId="42" fillId="42" borderId="0"/>
    <xf numFmtId="0" fontId="42" fillId="42" borderId="0"/>
    <xf numFmtId="0" fontId="42" fillId="42" borderId="0"/>
    <xf numFmtId="0" fontId="42" fillId="42" borderId="0"/>
    <xf numFmtId="0" fontId="42" fillId="42" borderId="0"/>
    <xf numFmtId="0" fontId="42" fillId="42" borderId="0"/>
    <xf numFmtId="0" fontId="42" fillId="42" borderId="0"/>
    <xf numFmtId="0" fontId="42" fillId="42" borderId="0"/>
    <xf numFmtId="0" fontId="42" fillId="42" borderId="0"/>
    <xf numFmtId="0" fontId="42" fillId="41" borderId="0"/>
    <xf numFmtId="0" fontId="42" fillId="41" borderId="0"/>
    <xf numFmtId="0" fontId="42" fillId="41" borderId="0"/>
    <xf numFmtId="0" fontId="42" fillId="41" borderId="0"/>
    <xf numFmtId="0" fontId="42" fillId="41" borderId="0"/>
    <xf numFmtId="0" fontId="42" fillId="41" borderId="0"/>
    <xf numFmtId="0" fontId="42" fillId="41" borderId="0"/>
    <xf numFmtId="0" fontId="42" fillId="41" borderId="0"/>
    <xf numFmtId="0" fontId="42" fillId="41" borderId="0"/>
    <xf numFmtId="0" fontId="42" fillId="41" borderId="0"/>
    <xf numFmtId="0" fontId="42" fillId="41" borderId="0"/>
    <xf numFmtId="0" fontId="42" fillId="41" borderId="0"/>
    <xf numFmtId="0" fontId="42" fillId="41" borderId="0"/>
    <xf numFmtId="0" fontId="42" fillId="41" borderId="0"/>
    <xf numFmtId="0" fontId="42" fillId="41" borderId="0"/>
    <xf numFmtId="0" fontId="42" fillId="41" borderId="0"/>
    <xf numFmtId="0" fontId="42" fillId="41" borderId="0"/>
    <xf numFmtId="0" fontId="42" fillId="41" borderId="0"/>
    <xf numFmtId="0" fontId="42" fillId="41" borderId="0"/>
    <xf numFmtId="0" fontId="42" fillId="44" borderId="0"/>
    <xf numFmtId="0" fontId="42" fillId="44" borderId="0"/>
    <xf numFmtId="0" fontId="42" fillId="44" borderId="0"/>
    <xf numFmtId="0" fontId="42" fillId="44" borderId="0"/>
    <xf numFmtId="0" fontId="42" fillId="44" borderId="0"/>
    <xf numFmtId="0" fontId="42" fillId="44" borderId="0"/>
    <xf numFmtId="0" fontId="42" fillId="44" borderId="0"/>
    <xf numFmtId="0" fontId="42" fillId="44" borderId="0"/>
    <xf numFmtId="0" fontId="42" fillId="44" borderId="0"/>
    <xf numFmtId="0" fontId="42" fillId="44" borderId="0"/>
    <xf numFmtId="0" fontId="42" fillId="44" borderId="0"/>
    <xf numFmtId="0" fontId="42" fillId="44" borderId="0"/>
    <xf numFmtId="0" fontId="42" fillId="44" borderId="0"/>
    <xf numFmtId="0" fontId="42" fillId="44" borderId="0"/>
    <xf numFmtId="0" fontId="42" fillId="44" borderId="0"/>
    <xf numFmtId="0" fontId="42" fillId="44" borderId="0"/>
    <xf numFmtId="0" fontId="42" fillId="44" borderId="0"/>
    <xf numFmtId="0" fontId="42" fillId="44" borderId="0"/>
    <xf numFmtId="0" fontId="42" fillId="44" borderId="0"/>
    <xf numFmtId="0" fontId="42" fillId="25" borderId="0"/>
    <xf numFmtId="0" fontId="42" fillId="25" borderId="0"/>
    <xf numFmtId="0" fontId="42" fillId="25" borderId="0"/>
    <xf numFmtId="0" fontId="42" fillId="25" borderId="0"/>
    <xf numFmtId="0" fontId="42" fillId="25" borderId="0"/>
    <xf numFmtId="0" fontId="42" fillId="25" borderId="0"/>
    <xf numFmtId="0" fontId="42" fillId="25" borderId="0"/>
    <xf numFmtId="0" fontId="42" fillId="25" borderId="0"/>
    <xf numFmtId="0" fontId="42" fillId="25" borderId="0"/>
    <xf numFmtId="0" fontId="42" fillId="25" borderId="0"/>
    <xf numFmtId="0" fontId="42" fillId="45" borderId="0"/>
    <xf numFmtId="0" fontId="42" fillId="45" borderId="0"/>
    <xf numFmtId="0" fontId="42" fillId="45" borderId="0"/>
    <xf numFmtId="0" fontId="42" fillId="45" borderId="0"/>
    <xf numFmtId="0" fontId="42" fillId="45" borderId="0"/>
    <xf numFmtId="0" fontId="42" fillId="45" borderId="0"/>
    <xf numFmtId="0" fontId="42" fillId="45" borderId="0"/>
    <xf numFmtId="0" fontId="42" fillId="45" borderId="0"/>
    <xf numFmtId="0" fontId="42" fillId="45" borderId="0"/>
    <xf numFmtId="0" fontId="42" fillId="45" borderId="0"/>
    <xf numFmtId="0" fontId="42" fillId="45" borderId="0"/>
    <xf numFmtId="0" fontId="42" fillId="45" borderId="0"/>
    <xf numFmtId="0" fontId="42" fillId="45" borderId="0"/>
    <xf numFmtId="0" fontId="42" fillId="45" borderId="0"/>
    <xf numFmtId="0" fontId="42" fillId="45" borderId="0"/>
    <xf numFmtId="0" fontId="42" fillId="45" borderId="0"/>
    <xf numFmtId="0" fontId="42" fillId="45" borderId="0"/>
    <xf numFmtId="0" fontId="42" fillId="45" borderId="0"/>
    <xf numFmtId="0" fontId="42" fillId="45" borderId="0"/>
    <xf numFmtId="0" fontId="45" fillId="39" borderId="0"/>
    <xf numFmtId="0" fontId="45" fillId="39" borderId="0"/>
    <xf numFmtId="0" fontId="45" fillId="39" borderId="0"/>
    <xf numFmtId="0" fontId="45" fillId="39" borderId="0"/>
    <xf numFmtId="0" fontId="45" fillId="39" borderId="0"/>
    <xf numFmtId="0" fontId="45" fillId="39" borderId="0"/>
    <xf numFmtId="0" fontId="45" fillId="39" borderId="0"/>
    <xf numFmtId="0" fontId="45" fillId="39" borderId="0"/>
    <xf numFmtId="0" fontId="45" fillId="39" borderId="0"/>
    <xf numFmtId="0" fontId="45" fillId="39" borderId="0"/>
    <xf numFmtId="0" fontId="45" fillId="39" borderId="0"/>
    <xf numFmtId="0" fontId="45" fillId="39" borderId="0"/>
    <xf numFmtId="0" fontId="45" fillId="39" borderId="0"/>
    <xf numFmtId="0" fontId="45" fillId="39" borderId="0"/>
    <xf numFmtId="0" fontId="45" fillId="39" borderId="0"/>
    <xf numFmtId="0" fontId="45" fillId="39" borderId="0"/>
    <xf numFmtId="0" fontId="45" fillId="39" borderId="0"/>
    <xf numFmtId="0" fontId="45" fillId="39" borderId="0"/>
    <xf numFmtId="0" fontId="45" fillId="39" borderId="0"/>
    <xf numFmtId="0" fontId="63" fillId="46" borderId="14"/>
    <xf numFmtId="0" fontId="63" fillId="46" borderId="14"/>
    <xf numFmtId="0" fontId="63" fillId="46" borderId="14"/>
    <xf numFmtId="0" fontId="63" fillId="46" borderId="14"/>
    <xf numFmtId="0" fontId="63" fillId="46" borderId="14"/>
    <xf numFmtId="0" fontId="63" fillId="46" borderId="14"/>
    <xf numFmtId="0" fontId="63" fillId="46" borderId="14"/>
    <xf numFmtId="0" fontId="63" fillId="46" borderId="14"/>
    <xf numFmtId="0" fontId="63" fillId="46" borderId="14"/>
    <xf numFmtId="0" fontId="63" fillId="46" borderId="14"/>
    <xf numFmtId="0" fontId="63" fillId="46" borderId="14"/>
    <xf numFmtId="0" fontId="63" fillId="46" borderId="14"/>
    <xf numFmtId="0" fontId="63" fillId="46" borderId="14"/>
    <xf numFmtId="0" fontId="63" fillId="46" borderId="14"/>
    <xf numFmtId="0" fontId="63" fillId="46" borderId="14"/>
    <xf numFmtId="0" fontId="63" fillId="46" borderId="14"/>
    <xf numFmtId="0" fontId="63" fillId="46" borderId="14"/>
    <xf numFmtId="0" fontId="63" fillId="46" borderId="14"/>
    <xf numFmtId="0" fontId="63" fillId="46" borderId="14"/>
    <xf numFmtId="0" fontId="48" fillId="30" borderId="15"/>
    <xf numFmtId="0" fontId="48" fillId="30" borderId="15"/>
    <xf numFmtId="0" fontId="48" fillId="30" borderId="15"/>
    <xf numFmtId="0" fontId="48" fillId="30" borderId="15"/>
    <xf numFmtId="0" fontId="48" fillId="30" borderId="15"/>
    <xf numFmtId="0" fontId="48" fillId="30" borderId="15"/>
    <xf numFmtId="0" fontId="48" fillId="30" borderId="15"/>
    <xf numFmtId="0" fontId="48" fillId="30" borderId="15"/>
    <xf numFmtId="0" fontId="48" fillId="30" borderId="15"/>
    <xf numFmtId="0" fontId="48" fillId="30" borderId="15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6" fillId="37" borderId="0"/>
    <xf numFmtId="0" fontId="56" fillId="37" borderId="0"/>
    <xf numFmtId="0" fontId="56" fillId="37" borderId="0"/>
    <xf numFmtId="0" fontId="56" fillId="37" borderId="0"/>
    <xf numFmtId="0" fontId="56" fillId="37" borderId="0"/>
    <xf numFmtId="0" fontId="56" fillId="37" borderId="0"/>
    <xf numFmtId="0" fontId="56" fillId="37" borderId="0"/>
    <xf numFmtId="0" fontId="56" fillId="37" borderId="0"/>
    <xf numFmtId="0" fontId="56" fillId="37" borderId="0"/>
    <xf numFmtId="0" fontId="56" fillId="37" borderId="0"/>
    <xf numFmtId="0" fontId="56" fillId="37" borderId="0"/>
    <xf numFmtId="0" fontId="56" fillId="37" borderId="0"/>
    <xf numFmtId="0" fontId="56" fillId="37" borderId="0"/>
    <xf numFmtId="0" fontId="56" fillId="37" borderId="0"/>
    <xf numFmtId="0" fontId="56" fillId="37" borderId="0"/>
    <xf numFmtId="0" fontId="56" fillId="37" borderId="0"/>
    <xf numFmtId="0" fontId="56" fillId="37" borderId="0"/>
    <xf numFmtId="0" fontId="56" fillId="37" borderId="0"/>
    <xf numFmtId="0" fontId="56" fillId="37" borderId="0"/>
    <xf numFmtId="0" fontId="58" fillId="0" borderId="22"/>
    <xf numFmtId="0" fontId="58" fillId="0" borderId="22"/>
    <xf numFmtId="0" fontId="58" fillId="0" borderId="22"/>
    <xf numFmtId="0" fontId="58" fillId="0" borderId="22"/>
    <xf numFmtId="0" fontId="58" fillId="0" borderId="22"/>
    <xf numFmtId="0" fontId="58" fillId="0" borderId="22"/>
    <xf numFmtId="0" fontId="58" fillId="0" borderId="22"/>
    <xf numFmtId="0" fontId="58" fillId="0" borderId="22"/>
    <xf numFmtId="0" fontId="59" fillId="0" borderId="23"/>
    <xf numFmtId="0" fontId="59" fillId="0" borderId="23"/>
    <xf numFmtId="0" fontId="59" fillId="0" borderId="23"/>
    <xf numFmtId="0" fontId="59" fillId="0" borderId="23"/>
    <xf numFmtId="0" fontId="59" fillId="0" borderId="23"/>
    <xf numFmtId="0" fontId="59" fillId="0" borderId="23"/>
    <xf numFmtId="0" fontId="59" fillId="0" borderId="23"/>
    <xf numFmtId="0" fontId="59" fillId="0" borderId="23"/>
    <xf numFmtId="0" fontId="60" fillId="0" borderId="24"/>
    <xf numFmtId="0" fontId="60" fillId="0" borderId="24"/>
    <xf numFmtId="0" fontId="60" fillId="0" borderId="24"/>
    <xf numFmtId="0" fontId="60" fillId="0" borderId="24"/>
    <xf numFmtId="0" fontId="60" fillId="0" borderId="24"/>
    <xf numFmtId="0" fontId="60" fillId="0" borderId="24"/>
    <xf numFmtId="0" fontId="60" fillId="0" borderId="24"/>
    <xf numFmtId="0" fontId="60" fillId="0" borderId="24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51" fillId="40" borderId="14"/>
    <xf numFmtId="0" fontId="51" fillId="40" borderId="14"/>
    <xf numFmtId="0" fontId="51" fillId="40" borderId="14"/>
    <xf numFmtId="0" fontId="51" fillId="40" borderId="14"/>
    <xf numFmtId="0" fontId="51" fillId="40" borderId="14"/>
    <xf numFmtId="0" fontId="51" fillId="40" borderId="14"/>
    <xf numFmtId="0" fontId="51" fillId="40" borderId="14"/>
    <xf numFmtId="0" fontId="51" fillId="40" borderId="14"/>
    <xf numFmtId="0" fontId="51" fillId="40" borderId="14"/>
    <xf numFmtId="0" fontId="51" fillId="40" borderId="14"/>
    <xf numFmtId="0" fontId="51" fillId="40" borderId="14"/>
    <xf numFmtId="0" fontId="51" fillId="40" borderId="14"/>
    <xf numFmtId="0" fontId="51" fillId="40" borderId="14"/>
    <xf numFmtId="0" fontId="51" fillId="40" borderId="14"/>
    <xf numFmtId="0" fontId="51" fillId="40" borderId="14"/>
    <xf numFmtId="0" fontId="51" fillId="40" borderId="14"/>
    <xf numFmtId="0" fontId="51" fillId="40" borderId="14"/>
    <xf numFmtId="0" fontId="51" fillId="40" borderId="14"/>
    <xf numFmtId="0" fontId="51" fillId="40" borderId="14"/>
    <xf numFmtId="0" fontId="61" fillId="0" borderId="25"/>
    <xf numFmtId="0" fontId="61" fillId="0" borderId="25"/>
    <xf numFmtId="0" fontId="61" fillId="0" borderId="25"/>
    <xf numFmtId="0" fontId="61" fillId="0" borderId="25"/>
    <xf numFmtId="0" fontId="61" fillId="0" borderId="25"/>
    <xf numFmtId="0" fontId="61" fillId="0" borderId="25"/>
    <xf numFmtId="0" fontId="61" fillId="0" borderId="25"/>
    <xf numFmtId="0" fontId="61" fillId="0" borderId="25"/>
    <xf numFmtId="0" fontId="64" fillId="29" borderId="0"/>
    <xf numFmtId="0" fontId="64" fillId="29" borderId="0"/>
    <xf numFmtId="0" fontId="64" fillId="29" borderId="0"/>
    <xf numFmtId="0" fontId="64" fillId="29" borderId="0"/>
    <xf numFmtId="0" fontId="64" fillId="29" borderId="0"/>
    <xf numFmtId="0" fontId="64" fillId="29" borderId="0"/>
    <xf numFmtId="0" fontId="64" fillId="29" borderId="0"/>
    <xf numFmtId="0" fontId="64" fillId="29" borderId="0"/>
    <xf numFmtId="0" fontId="64" fillId="29" borderId="0"/>
    <xf numFmtId="0" fontId="64" fillId="29" borderId="0"/>
    <xf numFmtId="0" fontId="64" fillId="29" borderId="0"/>
    <xf numFmtId="0" fontId="64" fillId="29" borderId="0"/>
    <xf numFmtId="0" fontId="64" fillId="29" borderId="0"/>
    <xf numFmtId="0" fontId="64" fillId="29" borderId="0"/>
    <xf numFmtId="0" fontId="64" fillId="29" borderId="0"/>
    <xf numFmtId="0" fontId="64" fillId="29" borderId="0"/>
    <xf numFmtId="0" fontId="64" fillId="29" borderId="0"/>
    <xf numFmtId="0" fontId="64" fillId="29" borderId="0"/>
    <xf numFmtId="0" fontId="64" fillId="29" borderId="0"/>
    <xf numFmtId="0" fontId="40" fillId="0" borderId="0"/>
    <xf numFmtId="0" fontId="40" fillId="0" borderId="0"/>
    <xf numFmtId="0" fontId="6" fillId="0" borderId="0" applyAlignment="1">
      <alignment vertical="center"/>
    </xf>
    <xf numFmtId="0" fontId="40" fillId="0" borderId="0"/>
    <xf numFmtId="0" fontId="40" fillId="0" borderId="0"/>
    <xf numFmtId="0" fontId="6" fillId="0" borderId="0" applyAlignment="1">
      <alignment vertical="center"/>
    </xf>
    <xf numFmtId="0" fontId="11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11" fillId="0" borderId="0"/>
    <xf numFmtId="0" fontId="11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11" fillId="0" borderId="0"/>
    <xf numFmtId="0" fontId="40" fillId="0" borderId="0"/>
    <xf numFmtId="0" fontId="6" fillId="0" borderId="0" applyAlignment="1">
      <alignment vertical="center"/>
    </xf>
    <xf numFmtId="0" fontId="11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11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6" fillId="0" borderId="0" applyAlignment="1">
      <alignment vertical="center"/>
    </xf>
    <xf numFmtId="0" fontId="40" fillId="0" borderId="0"/>
    <xf numFmtId="0" fontId="40" fillId="0" borderId="0"/>
    <xf numFmtId="0" fontId="6" fillId="0" borderId="0" applyAlignment="1">
      <alignment vertical="center"/>
    </xf>
    <xf numFmtId="0" fontId="11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6" fillId="0" borderId="0" applyAlignment="1">
      <alignment vertical="center"/>
    </xf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6" fillId="0" borderId="0" applyAlignment="1">
      <alignment vertical="center"/>
    </xf>
    <xf numFmtId="0" fontId="11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6" fillId="0" borderId="0" applyAlignment="1">
      <alignment vertical="center"/>
    </xf>
    <xf numFmtId="0" fontId="11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 applyAlignment="1">
      <alignment vertical="center"/>
    </xf>
    <xf numFmtId="0" fontId="40" fillId="0" borderId="0" applyAlignment="1">
      <alignment vertical="center"/>
    </xf>
    <xf numFmtId="0" fontId="40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11" fillId="0" borderId="0"/>
    <xf numFmtId="0" fontId="40" fillId="0" borderId="0"/>
    <xf numFmtId="0" fontId="40" fillId="0" borderId="0" applyAlignment="1">
      <alignment vertical="center"/>
    </xf>
    <xf numFmtId="0" fontId="6" fillId="0" borderId="0" applyAlignment="1">
      <alignment vertical="center"/>
    </xf>
    <xf numFmtId="0" fontId="11" fillId="0" borderId="0" applyAlignment="1">
      <alignment vertical="center"/>
    </xf>
    <xf numFmtId="0" fontId="11" fillId="0" borderId="0"/>
    <xf numFmtId="0" fontId="40" fillId="0" borderId="0"/>
    <xf numFmtId="0" fontId="6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40" fillId="0" borderId="0" applyAlignment="1">
      <alignment vertical="center"/>
    </xf>
    <xf numFmtId="0" fontId="6" fillId="0" borderId="0" applyAlignment="1">
      <alignment vertical="center"/>
    </xf>
    <xf numFmtId="0" fontId="11" fillId="0" borderId="0" applyAlignment="1">
      <alignment vertical="center"/>
    </xf>
    <xf numFmtId="0" fontId="40" fillId="0" borderId="0" applyAlignment="1">
      <alignment vertical="center"/>
    </xf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6" fillId="0" borderId="0" applyAlignment="1">
      <alignment vertical="center"/>
    </xf>
    <xf numFmtId="0" fontId="40" fillId="0" borderId="0"/>
    <xf numFmtId="0" fontId="40" fillId="0" borderId="0"/>
    <xf numFmtId="0" fontId="6" fillId="0" borderId="0" applyAlignment="1">
      <alignment vertical="center"/>
    </xf>
    <xf numFmtId="0" fontId="9" fillId="20" borderId="13"/>
    <xf numFmtId="0" fontId="9" fillId="20" borderId="13"/>
    <xf numFmtId="0" fontId="9" fillId="20" borderId="13"/>
    <xf numFmtId="0" fontId="9" fillId="20" borderId="13"/>
    <xf numFmtId="0" fontId="9" fillId="20" borderId="13"/>
    <xf numFmtId="0" fontId="9" fillId="20" borderId="13"/>
    <xf numFmtId="0" fontId="41" fillId="20" borderId="13"/>
    <xf numFmtId="0" fontId="41" fillId="20" borderId="13"/>
    <xf numFmtId="0" fontId="9" fillId="20" borderId="13"/>
    <xf numFmtId="0" fontId="9" fillId="20" borderId="13"/>
    <xf numFmtId="0" fontId="9" fillId="20" borderId="13"/>
    <xf numFmtId="0" fontId="9" fillId="20" borderId="13"/>
    <xf numFmtId="0" fontId="9" fillId="20" borderId="13"/>
    <xf numFmtId="0" fontId="9" fillId="20" borderId="13"/>
    <xf numFmtId="0" fontId="9" fillId="20" borderId="13"/>
    <xf numFmtId="0" fontId="9" fillId="20" borderId="13"/>
    <xf numFmtId="0" fontId="9" fillId="20" borderId="13"/>
    <xf numFmtId="0" fontId="41" fillId="20" borderId="13"/>
    <xf numFmtId="0" fontId="41" fillId="20" borderId="13"/>
    <xf numFmtId="0" fontId="9" fillId="20" borderId="13"/>
    <xf numFmtId="0" fontId="9" fillId="20" borderId="13"/>
    <xf numFmtId="0" fontId="9" fillId="20" borderId="13"/>
    <xf numFmtId="0" fontId="9" fillId="20" borderId="13"/>
    <xf numFmtId="0" fontId="41" fillId="20" borderId="13"/>
    <xf numFmtId="0" fontId="41" fillId="20" borderId="13"/>
    <xf numFmtId="0" fontId="9" fillId="20" borderId="13"/>
    <xf numFmtId="0" fontId="41" fillId="20" borderId="13"/>
    <xf numFmtId="0" fontId="41" fillId="20" borderId="13"/>
    <xf numFmtId="0" fontId="9" fillId="20" borderId="13"/>
    <xf numFmtId="0" fontId="9" fillId="20" borderId="13"/>
    <xf numFmtId="0" fontId="9" fillId="20" borderId="13"/>
    <xf numFmtId="0" fontId="9" fillId="20" borderId="13"/>
    <xf numFmtId="0" fontId="9" fillId="20" borderId="13"/>
    <xf numFmtId="0" fontId="9" fillId="20" borderId="13"/>
    <xf numFmtId="0" fontId="41" fillId="20" borderId="13"/>
    <xf numFmtId="0" fontId="41" fillId="20" borderId="13"/>
    <xf numFmtId="0" fontId="9" fillId="20" borderId="13"/>
    <xf numFmtId="0" fontId="9" fillId="20" borderId="13"/>
    <xf numFmtId="0" fontId="9" fillId="20" borderId="13"/>
    <xf numFmtId="0" fontId="9" fillId="20" borderId="13"/>
    <xf numFmtId="0" fontId="9" fillId="20" borderId="13"/>
    <xf numFmtId="0" fontId="9" fillId="20" borderId="13"/>
    <xf numFmtId="0" fontId="9" fillId="20" borderId="13"/>
    <xf numFmtId="0" fontId="9" fillId="20" borderId="13"/>
    <xf numFmtId="0" fontId="9" fillId="20" borderId="13"/>
    <xf numFmtId="0" fontId="9" fillId="20" borderId="13"/>
    <xf numFmtId="0" fontId="9" fillId="20" borderId="13"/>
    <xf numFmtId="0" fontId="41" fillId="20" borderId="13"/>
    <xf numFmtId="0" fontId="41" fillId="20" borderId="13"/>
    <xf numFmtId="0" fontId="9" fillId="20" borderId="13"/>
    <xf numFmtId="0" fontId="9" fillId="20" borderId="13"/>
    <xf numFmtId="0" fontId="9" fillId="20" borderId="13"/>
    <xf numFmtId="0" fontId="9" fillId="20" borderId="13"/>
    <xf numFmtId="0" fontId="9" fillId="20" borderId="13"/>
    <xf numFmtId="0" fontId="9" fillId="20" borderId="13"/>
    <xf numFmtId="0" fontId="9" fillId="20" borderId="13"/>
    <xf numFmtId="0" fontId="9" fillId="20" borderId="13"/>
    <xf numFmtId="0" fontId="9" fillId="20" borderId="13"/>
    <xf numFmtId="0" fontId="9" fillId="20" borderId="13"/>
    <xf numFmtId="0" fontId="9" fillId="20" borderId="13"/>
    <xf numFmtId="0" fontId="9" fillId="20" borderId="13"/>
    <xf numFmtId="0" fontId="41" fillId="20" borderId="13"/>
    <xf numFmtId="0" fontId="41" fillId="20" borderId="13"/>
    <xf numFmtId="0" fontId="9" fillId="20" borderId="13"/>
    <xf numFmtId="0" fontId="9" fillId="20" borderId="13"/>
    <xf numFmtId="0" fontId="57" fillId="46" borderId="21"/>
    <xf numFmtId="0" fontId="57" fillId="46" borderId="21"/>
    <xf numFmtId="0" fontId="57" fillId="46" borderId="21"/>
    <xf numFmtId="0" fontId="57" fillId="46" borderId="21"/>
    <xf numFmtId="0" fontId="57" fillId="46" borderId="21"/>
    <xf numFmtId="0" fontId="57" fillId="46" borderId="21"/>
    <xf numFmtId="0" fontId="57" fillId="46" borderId="21"/>
    <xf numFmtId="0" fontId="57" fillId="46" borderId="21"/>
    <xf numFmtId="0" fontId="57" fillId="46" borderId="21"/>
    <xf numFmtId="0" fontId="57" fillId="46" borderId="21"/>
    <xf numFmtId="0" fontId="57" fillId="46" borderId="21"/>
    <xf numFmtId="0" fontId="57" fillId="46" borderId="21"/>
    <xf numFmtId="0" fontId="57" fillId="46" borderId="21"/>
    <xf numFmtId="0" fontId="57" fillId="46" borderId="21"/>
    <xf numFmtId="0" fontId="57" fillId="46" borderId="21"/>
    <xf numFmtId="0" fontId="57" fillId="46" borderId="21"/>
    <xf numFmtId="0" fontId="57" fillId="46" borderId="21"/>
    <xf numFmtId="0" fontId="57" fillId="46" borderId="21"/>
    <xf numFmtId="0" fontId="57" fillId="46" borderId="21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50" fillId="0" borderId="26"/>
    <xf numFmtId="0" fontId="50" fillId="0" borderId="26"/>
    <xf numFmtId="0" fontId="50" fillId="0" borderId="26"/>
    <xf numFmtId="0" fontId="50" fillId="0" borderId="26"/>
    <xf numFmtId="0" fontId="50" fillId="0" borderId="26"/>
    <xf numFmtId="0" fontId="50" fillId="0" borderId="26"/>
    <xf numFmtId="0" fontId="50" fillId="0" borderId="26"/>
    <xf numFmtId="0" fontId="50" fillId="0" borderId="26"/>
    <xf numFmtId="0" fontId="50" fillId="0" borderId="26"/>
    <xf numFmtId="0" fontId="50" fillId="0" borderId="26"/>
    <xf numFmtId="0" fontId="50" fillId="0" borderId="26"/>
    <xf numFmtId="0" fontId="50" fillId="0" borderId="26"/>
    <xf numFmtId="0" fontId="50" fillId="0" borderId="26"/>
    <xf numFmtId="0" fontId="50" fillId="0" borderId="26"/>
    <xf numFmtId="0" fontId="50" fillId="0" borderId="26"/>
    <xf numFmtId="0" fontId="50" fillId="0" borderId="26"/>
    <xf numFmtId="0" fontId="50" fillId="0" borderId="26"/>
    <xf numFmtId="0" fontId="50" fillId="0" borderId="26"/>
    <xf numFmtId="0" fontId="50" fillId="0" borderId="26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2" fillId="21" borderId="0"/>
    <xf numFmtId="0" fontId="42" fillId="43" borderId="0" applyAlignment="1">
      <alignment vertical="center"/>
    </xf>
    <xf numFmtId="0" fontId="12" fillId="21" borderId="0"/>
    <xf numFmtId="0" fontId="42" fillId="21" borderId="0"/>
    <xf numFmtId="0" fontId="12" fillId="21" borderId="0"/>
    <xf numFmtId="0" fontId="42" fillId="21" borderId="0"/>
    <xf numFmtId="0" fontId="42" fillId="43" borderId="0" applyAlignment="1">
      <alignment vertical="center"/>
    </xf>
    <xf numFmtId="0" fontId="42" fillId="21" borderId="0"/>
    <xf numFmtId="0" fontId="42" fillId="21" borderId="0"/>
    <xf numFmtId="0" fontId="42" fillId="43" borderId="0" applyAlignment="1">
      <alignment vertical="center"/>
    </xf>
    <xf numFmtId="0" fontId="12" fillId="21" borderId="0"/>
    <xf numFmtId="0" fontId="42" fillId="43" borderId="0"/>
    <xf numFmtId="0" fontId="42" fillId="43" borderId="0"/>
    <xf numFmtId="0" fontId="42" fillId="22" borderId="0"/>
    <xf numFmtId="0" fontId="42" fillId="42" borderId="0" applyAlignment="1">
      <alignment vertical="center"/>
    </xf>
    <xf numFmtId="0" fontId="12" fillId="22" borderId="0"/>
    <xf numFmtId="0" fontId="42" fillId="22" borderId="0"/>
    <xf numFmtId="0" fontId="12" fillId="22" borderId="0"/>
    <xf numFmtId="0" fontId="42" fillId="22" borderId="0"/>
    <xf numFmtId="0" fontId="42" fillId="42" borderId="0" applyAlignment="1">
      <alignment vertical="center"/>
    </xf>
    <xf numFmtId="0" fontId="42" fillId="22" borderId="0"/>
    <xf numFmtId="0" fontId="42" fillId="22" borderId="0"/>
    <xf numFmtId="0" fontId="42" fillId="42" borderId="0" applyAlignment="1">
      <alignment vertical="center"/>
    </xf>
    <xf numFmtId="0" fontId="12" fillId="22" borderId="0"/>
    <xf numFmtId="0" fontId="42" fillId="42" borderId="0"/>
    <xf numFmtId="0" fontId="42" fillId="42" borderId="0"/>
    <xf numFmtId="0" fontId="42" fillId="23" borderId="0"/>
    <xf numFmtId="0" fontId="42" fillId="41" borderId="0" applyAlignment="1">
      <alignment vertical="center"/>
    </xf>
    <xf numFmtId="0" fontId="12" fillId="23" borderId="0"/>
    <xf numFmtId="0" fontId="42" fillId="23" borderId="0"/>
    <xf numFmtId="0" fontId="12" fillId="23" borderId="0"/>
    <xf numFmtId="0" fontId="42" fillId="23" borderId="0"/>
    <xf numFmtId="0" fontId="42" fillId="41" borderId="0" applyAlignment="1">
      <alignment vertical="center"/>
    </xf>
    <xf numFmtId="0" fontId="42" fillId="23" borderId="0"/>
    <xf numFmtId="0" fontId="42" fillId="23" borderId="0"/>
    <xf numFmtId="0" fontId="42" fillId="41" borderId="0" applyAlignment="1">
      <alignment vertical="center"/>
    </xf>
    <xf numFmtId="0" fontId="12" fillId="23" borderId="0"/>
    <xf numFmtId="0" fontId="42" fillId="41" borderId="0"/>
    <xf numFmtId="0" fontId="42" fillId="41" borderId="0"/>
    <xf numFmtId="0" fontId="42" fillId="24" borderId="0"/>
    <xf numFmtId="0" fontId="42" fillId="44" borderId="0" applyAlignment="1">
      <alignment vertical="center"/>
    </xf>
    <xf numFmtId="0" fontId="12" fillId="24" borderId="0"/>
    <xf numFmtId="0" fontId="42" fillId="24" borderId="0"/>
    <xf numFmtId="0" fontId="12" fillId="24" borderId="0"/>
    <xf numFmtId="0" fontId="42" fillId="24" borderId="0"/>
    <xf numFmtId="0" fontId="42" fillId="44" borderId="0" applyAlignment="1">
      <alignment vertical="center"/>
    </xf>
    <xf numFmtId="0" fontId="42" fillId="24" borderId="0"/>
    <xf numFmtId="0" fontId="42" fillId="24" borderId="0"/>
    <xf numFmtId="0" fontId="42" fillId="44" borderId="0" applyAlignment="1">
      <alignment vertical="center"/>
    </xf>
    <xf numFmtId="0" fontId="12" fillId="24" borderId="0"/>
    <xf numFmtId="0" fontId="42" fillId="44" borderId="0"/>
    <xf numFmtId="0" fontId="42" fillId="44" borderId="0"/>
    <xf numFmtId="0" fontId="42" fillId="25" borderId="0"/>
    <xf numFmtId="0" fontId="12" fillId="25" borderId="0"/>
    <xf numFmtId="0" fontId="42" fillId="25" borderId="0"/>
    <xf numFmtId="0" fontId="12" fillId="25" borderId="0"/>
    <xf numFmtId="0" fontId="42" fillId="25" borderId="0"/>
    <xf numFmtId="0" fontId="42" fillId="25" borderId="0" applyAlignment="1">
      <alignment vertical="center"/>
    </xf>
    <xf numFmtId="0" fontId="42" fillId="25" borderId="0"/>
    <xf numFmtId="0" fontId="42" fillId="25" borderId="0"/>
    <xf numFmtId="0" fontId="42" fillId="25" borderId="0" applyAlignment="1">
      <alignment vertical="center"/>
    </xf>
    <xf numFmtId="0" fontId="12" fillId="25" borderId="0"/>
    <xf numFmtId="0" fontId="42" fillId="25" borderId="0"/>
    <xf numFmtId="0" fontId="42" fillId="26" borderId="0"/>
    <xf numFmtId="0" fontId="42" fillId="45" borderId="0" applyAlignment="1">
      <alignment vertical="center"/>
    </xf>
    <xf numFmtId="0" fontId="12" fillId="26" borderId="0"/>
    <xf numFmtId="0" fontId="42" fillId="26" borderId="0"/>
    <xf numFmtId="0" fontId="12" fillId="26" borderId="0"/>
    <xf numFmtId="0" fontId="42" fillId="26" borderId="0"/>
    <xf numFmtId="0" fontId="42" fillId="45" borderId="0" applyAlignment="1">
      <alignment vertical="center"/>
    </xf>
    <xf numFmtId="0" fontId="42" fillId="26" borderId="0"/>
    <xf numFmtId="0" fontId="42" fillId="26" borderId="0"/>
    <xf numFmtId="0" fontId="42" fillId="45" borderId="0" applyAlignment="1">
      <alignment vertical="center"/>
    </xf>
    <xf numFmtId="0" fontId="12" fillId="26" borderId="0"/>
    <xf numFmtId="0" fontId="42" fillId="45" borderId="0"/>
    <xf numFmtId="0" fontId="42" fillId="45" borderId="0"/>
    <xf numFmtId="0" fontId="43" fillId="0" borderId="0"/>
    <xf numFmtId="0" fontId="13" fillId="0" borderId="0"/>
    <xf numFmtId="0" fontId="43" fillId="0" borderId="0"/>
    <xf numFmtId="0" fontId="13" fillId="0" borderId="0"/>
    <xf numFmtId="0" fontId="43" fillId="0" borderId="0"/>
    <xf numFmtId="0" fontId="43" fillId="0" borderId="0" applyAlignment="1">
      <alignment vertical="center"/>
    </xf>
    <xf numFmtId="0" fontId="43" fillId="0" borderId="0"/>
    <xf numFmtId="0" fontId="43" fillId="0" borderId="0"/>
    <xf numFmtId="0" fontId="43" fillId="0" borderId="0" applyAlignment="1">
      <alignment vertical="center"/>
    </xf>
    <xf numFmtId="0" fontId="13" fillId="0" borderId="0"/>
    <xf numFmtId="0" fontId="43" fillId="0" borderId="0"/>
    <xf numFmtId="0" fontId="44" fillId="27" borderId="14"/>
    <xf numFmtId="0" fontId="63" fillId="46" borderId="14" applyAlignment="1">
      <alignment vertical="center"/>
    </xf>
    <xf numFmtId="0" fontId="14" fillId="27" borderId="14"/>
    <xf numFmtId="0" fontId="44" fillId="27" borderId="14"/>
    <xf numFmtId="0" fontId="14" fillId="27" borderId="14"/>
    <xf numFmtId="0" fontId="44" fillId="27" borderId="14"/>
    <xf numFmtId="0" fontId="63" fillId="46" borderId="14" applyAlignment="1">
      <alignment vertical="center"/>
    </xf>
    <xf numFmtId="0" fontId="44" fillId="27" borderId="14"/>
    <xf numFmtId="0" fontId="44" fillId="27" borderId="14"/>
    <xf numFmtId="0" fontId="63" fillId="46" borderId="14" applyAlignment="1">
      <alignment vertical="center"/>
    </xf>
    <xf numFmtId="0" fontId="14" fillId="27" borderId="14"/>
    <xf numFmtId="0" fontId="63" fillId="46" borderId="14"/>
    <xf numFmtId="0" fontId="63" fillId="46" borderId="14"/>
    <xf numFmtId="0" fontId="45" fillId="28" borderId="0"/>
    <xf numFmtId="0" fontId="45" fillId="39" borderId="0" applyAlignment="1">
      <alignment vertical="center"/>
    </xf>
    <xf numFmtId="0" fontId="15" fillId="28" borderId="0"/>
    <xf numFmtId="0" fontId="45" fillId="28" borderId="0"/>
    <xf numFmtId="0" fontId="15" fillId="28" borderId="0"/>
    <xf numFmtId="0" fontId="45" fillId="28" borderId="0"/>
    <xf numFmtId="0" fontId="45" fillId="39" borderId="0" applyAlignment="1">
      <alignment vertical="center"/>
    </xf>
    <xf numFmtId="0" fontId="45" fillId="28" borderId="0"/>
    <xf numFmtId="0" fontId="45" fillId="28" borderId="0"/>
    <xf numFmtId="0" fontId="45" fillId="39" borderId="0" applyAlignment="1">
      <alignment vertical="center"/>
    </xf>
    <xf numFmtId="0" fontId="15" fillId="28" borderId="0"/>
    <xf numFmtId="0" fontId="45" fillId="39" borderId="0"/>
    <xf numFmtId="0" fontId="45" fillId="39" borderId="0"/>
    <xf numFmtId="9" fontId="6" fillId="0" borderId="0" applyAlignment="1">
      <alignment vertical="center"/>
    </xf>
    <xf numFmtId="9" fontId="6" fillId="0" borderId="0" applyAlignment="1">
      <alignment vertical="center"/>
    </xf>
    <xf numFmtId="9" fontId="6" fillId="0" borderId="0" applyAlignment="1">
      <alignment vertical="center"/>
    </xf>
    <xf numFmtId="0" fontId="46" fillId="29" borderId="0"/>
    <xf numFmtId="0" fontId="64" fillId="29" borderId="0" applyAlignment="1">
      <alignment vertical="center"/>
    </xf>
    <xf numFmtId="0" fontId="16" fillId="29" borderId="0"/>
    <xf numFmtId="0" fontId="46" fillId="29" borderId="0"/>
    <xf numFmtId="0" fontId="16" fillId="29" borderId="0"/>
    <xf numFmtId="0" fontId="46" fillId="29" borderId="0"/>
    <xf numFmtId="0" fontId="64" fillId="29" borderId="0" applyAlignment="1">
      <alignment vertical="center"/>
    </xf>
    <xf numFmtId="0" fontId="46" fillId="29" borderId="0"/>
    <xf numFmtId="0" fontId="46" fillId="29" borderId="0"/>
    <xf numFmtId="0" fontId="64" fillId="29" borderId="0" applyAlignment="1">
      <alignment vertical="center"/>
    </xf>
    <xf numFmtId="0" fontId="16" fillId="29" borderId="0"/>
    <xf numFmtId="0" fontId="64" fillId="29" borderId="0"/>
    <xf numFmtId="0" fontId="64" fillId="29" borderId="0"/>
    <xf numFmtId="0" fontId="47" fillId="0" borderId="0"/>
    <xf numFmtId="0" fontId="17" fillId="0" borderId="0"/>
    <xf numFmtId="0" fontId="47" fillId="0" borderId="0"/>
    <xf numFmtId="0" fontId="17" fillId="0" borderId="0"/>
    <xf numFmtId="0" fontId="47" fillId="0" borderId="0"/>
    <xf numFmtId="0" fontId="47" fillId="0" borderId="0" applyAlignment="1">
      <alignment vertical="center"/>
    </xf>
    <xf numFmtId="0" fontId="47" fillId="0" borderId="0"/>
    <xf numFmtId="0" fontId="47" fillId="0" borderId="0"/>
    <xf numFmtId="0" fontId="47" fillId="0" borderId="0" applyAlignment="1">
      <alignment vertical="center"/>
    </xf>
    <xf numFmtId="0" fontId="17" fillId="0" borderId="0"/>
    <xf numFmtId="0" fontId="47" fillId="0" borderId="0"/>
    <xf numFmtId="0" fontId="48" fillId="30" borderId="15"/>
    <xf numFmtId="0" fontId="18" fillId="30" borderId="15"/>
    <xf numFmtId="0" fontId="48" fillId="30" borderId="15"/>
    <xf numFmtId="0" fontId="18" fillId="30" borderId="15"/>
    <xf numFmtId="0" fontId="48" fillId="30" borderId="15"/>
    <xf numFmtId="0" fontId="48" fillId="30" borderId="15" applyAlignment="1">
      <alignment vertical="center"/>
    </xf>
    <xf numFmtId="0" fontId="48" fillId="30" borderId="15"/>
    <xf numFmtId="0" fontId="48" fillId="30" borderId="15"/>
    <xf numFmtId="0" fontId="48" fillId="30" borderId="15" applyAlignment="1">
      <alignment vertical="center"/>
    </xf>
    <xf numFmtId="0" fontId="18" fillId="30" borderId="15"/>
    <xf numFmtId="0" fontId="48" fillId="30" borderId="15"/>
    <xf numFmtId="43" fontId="6" fillId="0" borderId="0" applyAlignment="1">
      <alignment vertical="center"/>
    </xf>
    <xf numFmtId="43" fontId="6" fillId="0" borderId="0" applyAlignment="1">
      <alignment vertical="center"/>
    </xf>
    <xf numFmtId="43" fontId="6" fillId="0" borderId="0" applyAlignment="1">
      <alignment vertical="center"/>
    </xf>
    <xf numFmtId="43" fontId="6" fillId="0" borderId="0" applyAlignment="1">
      <alignment vertical="center"/>
    </xf>
    <xf numFmtId="43" fontId="6" fillId="0" borderId="0" applyAlignment="1">
      <alignment vertical="center"/>
    </xf>
    <xf numFmtId="43" fontId="6" fillId="0" borderId="0" applyAlignment="1">
      <alignment vertical="center"/>
    </xf>
    <xf numFmtId="43" fontId="6" fillId="0" borderId="0" applyAlignment="1">
      <alignment vertical="center"/>
    </xf>
    <xf numFmtId="43" fontId="6" fillId="0" borderId="0" applyAlignment="1">
      <alignment vertical="center"/>
    </xf>
    <xf numFmtId="43" fontId="6" fillId="0" borderId="0" applyAlignment="1">
      <alignment vertical="center"/>
    </xf>
    <xf numFmtId="0" fontId="49" fillId="0" borderId="16"/>
    <xf numFmtId="0" fontId="31" fillId="0" borderId="25" applyAlignment="1">
      <alignment vertical="center"/>
    </xf>
    <xf numFmtId="0" fontId="19" fillId="0" borderId="16"/>
    <xf numFmtId="0" fontId="49" fillId="0" borderId="16"/>
    <xf numFmtId="0" fontId="19" fillId="0" borderId="16"/>
    <xf numFmtId="0" fontId="49" fillId="0" borderId="16"/>
    <xf numFmtId="0" fontId="61" fillId="0" borderId="25" applyAlignment="1">
      <alignment vertical="center"/>
    </xf>
    <xf numFmtId="0" fontId="49" fillId="0" borderId="16"/>
    <xf numFmtId="0" fontId="49" fillId="0" borderId="16"/>
    <xf numFmtId="0" fontId="61" fillId="0" borderId="25" applyAlignment="1">
      <alignment vertical="center"/>
    </xf>
    <xf numFmtId="0" fontId="19" fillId="0" borderId="16"/>
    <xf numFmtId="0" fontId="61" fillId="0" borderId="25"/>
    <xf numFmtId="0" fontId="50" fillId="0" borderId="17"/>
    <xf numFmtId="0" fontId="50" fillId="0" borderId="26" applyAlignment="1">
      <alignment vertical="center"/>
    </xf>
    <xf numFmtId="0" fontId="20" fillId="0" borderId="17"/>
    <xf numFmtId="0" fontId="50" fillId="0" borderId="17"/>
    <xf numFmtId="0" fontId="20" fillId="0" borderId="17"/>
    <xf numFmtId="0" fontId="50" fillId="0" borderId="17"/>
    <xf numFmtId="0" fontId="50" fillId="0" borderId="26" applyAlignment="1">
      <alignment vertical="center"/>
    </xf>
    <xf numFmtId="0" fontId="50" fillId="0" borderId="17"/>
    <xf numFmtId="0" fontId="50" fillId="0" borderId="17"/>
    <xf numFmtId="0" fontId="50" fillId="0" borderId="26" applyAlignment="1">
      <alignment vertical="center"/>
    </xf>
    <xf numFmtId="0" fontId="20" fillId="0" borderId="17"/>
    <xf numFmtId="0" fontId="50" fillId="0" borderId="26"/>
    <xf numFmtId="0" fontId="50" fillId="0" borderId="26"/>
    <xf numFmtId="0" fontId="51" fillId="31" borderId="14"/>
    <xf numFmtId="0" fontId="51" fillId="40" borderId="14" applyAlignment="1">
      <alignment vertical="center"/>
    </xf>
    <xf numFmtId="0" fontId="21" fillId="31" borderId="14"/>
    <xf numFmtId="0" fontId="51" fillId="31" borderId="14"/>
    <xf numFmtId="0" fontId="21" fillId="31" borderId="14"/>
    <xf numFmtId="0" fontId="51" fillId="31" borderId="14"/>
    <xf numFmtId="0" fontId="51" fillId="40" borderId="14" applyAlignment="1">
      <alignment vertical="center"/>
    </xf>
    <xf numFmtId="0" fontId="51" fillId="31" borderId="14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41" fillId="20" borderId="13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5" fillId="0" borderId="0"/>
    <xf numFmtId="0" fontId="6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0" fillId="0" borderId="0"/>
    <xf numFmtId="0" fontId="6" fillId="0" borderId="0" applyAlignment="1">
      <alignment vertical="center"/>
    </xf>
    <xf numFmtId="0" fontId="5" fillId="0" borderId="0"/>
    <xf numFmtId="0" fontId="5" fillId="0" borderId="0"/>
    <xf numFmtId="0" fontId="5" fillId="0" borderId="0"/>
    <xf numFmtId="0" fontId="6" fillId="0" borderId="0" applyAlignment="1">
      <alignment vertical="center"/>
    </xf>
    <xf numFmtId="0" fontId="6" fillId="0" borderId="0" applyAlignment="1">
      <alignment vertical="center"/>
    </xf>
  </cellStyleXfs>
  <cellXfs count="125">
    <xf numFmtId="0" fontId="0" fillId="0" borderId="0" applyAlignment="1" pivotButton="0" quotePrefix="0" xfId="0">
      <alignment vertical="center"/>
    </xf>
    <xf numFmtId="0" fontId="8" fillId="0" borderId="0" applyAlignment="1" pivotButton="0" quotePrefix="0" xfId="1595">
      <alignment horizontal="center" vertical="center"/>
    </xf>
    <xf numFmtId="0" fontId="8" fillId="0" borderId="0" applyAlignment="1" pivotButton="0" quotePrefix="0" xfId="1595">
      <alignment horizontal="center" vertical="center"/>
    </xf>
    <xf numFmtId="0" fontId="66" fillId="0" borderId="0" applyAlignment="1" pivotButton="0" quotePrefix="0" xfId="1595">
      <alignment horizontal="center" vertical="center"/>
    </xf>
    <xf numFmtId="0" fontId="66" fillId="0" borderId="0" applyAlignment="1" pivotButton="0" quotePrefix="0" xfId="1595">
      <alignment horizontal="left" vertical="center"/>
    </xf>
    <xf numFmtId="0" fontId="65" fillId="0" borderId="2" applyAlignment="1" pivotButton="0" quotePrefix="0" xfId="1595">
      <alignment horizontal="center" vertical="center"/>
    </xf>
    <xf numFmtId="0" fontId="65" fillId="0" borderId="3" applyAlignment="1" pivotButton="0" quotePrefix="0" xfId="1595">
      <alignment horizontal="center" vertical="center"/>
    </xf>
    <xf numFmtId="0" fontId="65" fillId="0" borderId="4" applyAlignment="1" pivotButton="0" quotePrefix="0" xfId="1595">
      <alignment horizontal="center" vertical="center"/>
    </xf>
    <xf numFmtId="0" fontId="66" fillId="0" borderId="1" applyAlignment="1" pivotButton="0" quotePrefix="0" xfId="1595">
      <alignment horizontal="center" vertical="center"/>
    </xf>
    <xf numFmtId="0" fontId="71" fillId="0" borderId="0" applyAlignment="1" pivotButton="0" quotePrefix="0" xfId="1595">
      <alignment horizontal="center" vertical="center"/>
    </xf>
    <xf numFmtId="0" fontId="72" fillId="0" borderId="0" applyAlignment="1" pivotButton="0" quotePrefix="0" xfId="1595">
      <alignment horizontal="center" vertical="center"/>
    </xf>
    <xf numFmtId="0" fontId="70" fillId="0" borderId="0" applyAlignment="1" pivotButton="0" quotePrefix="0" xfId="1595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70" fillId="0" borderId="0" applyAlignment="1" pivotButton="0" quotePrefix="0" xfId="0">
      <alignment vertical="center"/>
    </xf>
    <xf numFmtId="0" fontId="72" fillId="0" borderId="1" applyAlignment="1" pivotButton="0" quotePrefix="0" xfId="0">
      <alignment horizontal="center" vertical="center"/>
    </xf>
    <xf numFmtId="0" fontId="70" fillId="0" borderId="1" applyAlignment="1" pivotButton="0" quotePrefix="0" xfId="0">
      <alignment horizontal="center" vertical="center"/>
    </xf>
    <xf numFmtId="0" fontId="72" fillId="0" borderId="7" applyAlignment="1" pivotButton="0" quotePrefix="0" xfId="0">
      <alignment horizontal="center"/>
    </xf>
    <xf numFmtId="0" fontId="70" fillId="0" borderId="7" applyAlignment="1" pivotButton="0" quotePrefix="0" xfId="0">
      <alignment horizontal="center"/>
    </xf>
    <xf numFmtId="0" fontId="8" fillId="0" borderId="8" applyAlignment="1" pivotButton="0" quotePrefix="0" xfId="0">
      <alignment horizontal="left"/>
    </xf>
    <xf numFmtId="0" fontId="66" fillId="47" borderId="1" applyAlignment="1" pivotButton="0" quotePrefix="0" xfId="0">
      <alignment horizontal="center" vertical="center"/>
    </xf>
    <xf numFmtId="0" fontId="66" fillId="47" borderId="1" applyAlignment="1" pivotButton="0" quotePrefix="0" xfId="1595">
      <alignment horizontal="center"/>
    </xf>
    <xf numFmtId="0" fontId="70" fillId="47" borderId="7" applyAlignment="1" pivotButton="0" quotePrefix="0" xfId="0">
      <alignment horizontal="center"/>
    </xf>
    <xf numFmtId="0" fontId="70" fillId="47" borderId="1" applyAlignment="1" pivotButton="0" quotePrefix="0" xfId="0">
      <alignment horizontal="center" vertical="center"/>
    </xf>
    <xf numFmtId="0" fontId="70" fillId="47" borderId="8" applyAlignment="1" pivotButton="0" quotePrefix="0" xfId="0">
      <alignment horizontal="left"/>
    </xf>
    <xf numFmtId="0" fontId="70" fillId="47" borderId="1" applyAlignment="1" pivotButton="0" quotePrefix="0" xfId="1595">
      <alignment horizontal="center"/>
    </xf>
    <xf numFmtId="0" fontId="70" fillId="0" borderId="1" pivotButton="0" quotePrefix="0" xfId="0"/>
    <xf numFmtId="0" fontId="70" fillId="0" borderId="1" pivotButton="0" quotePrefix="1" xfId="0"/>
    <xf numFmtId="0" fontId="70" fillId="0" borderId="1" applyAlignment="1" pivotButton="0" quotePrefix="0" xfId="0">
      <alignment horizontal="center"/>
    </xf>
    <xf numFmtId="0" fontId="70" fillId="0" borderId="1" applyAlignment="1" pivotButton="0" quotePrefix="0" xfId="0">
      <alignment horizontal="center"/>
    </xf>
    <xf numFmtId="0" fontId="72" fillId="0" borderId="1" pivotButton="0" quotePrefix="0" xfId="0"/>
    <xf numFmtId="0" fontId="72" fillId="0" borderId="1" applyAlignment="1" pivotButton="0" quotePrefix="0" xfId="0">
      <alignment horizontal="center"/>
    </xf>
    <xf numFmtId="0" fontId="72" fillId="0" borderId="1" applyAlignment="1" pivotButton="0" quotePrefix="0" xfId="0">
      <alignment horizontal="center"/>
    </xf>
    <xf numFmtId="0" fontId="72" fillId="47" borderId="7" applyAlignment="1" pivotButton="0" quotePrefix="0" xfId="0">
      <alignment horizontal="center"/>
    </xf>
    <xf numFmtId="0" fontId="72" fillId="0" borderId="1" pivotButton="0" quotePrefix="0" xfId="0"/>
    <xf numFmtId="0" fontId="72" fillId="0" borderId="1" applyAlignment="1" pivotButton="0" quotePrefix="0" xfId="0">
      <alignment horizontal="left"/>
    </xf>
    <xf numFmtId="0" fontId="72" fillId="0" borderId="1" applyAlignment="1" pivotButton="0" quotePrefix="0" xfId="0">
      <alignment horizontal="center"/>
    </xf>
    <xf numFmtId="0" fontId="72" fillId="0" borderId="1" applyAlignment="1" pivotButton="0" quotePrefix="0" xfId="0">
      <alignment horizontal="center"/>
    </xf>
    <xf numFmtId="0" fontId="70" fillId="0" borderId="1" pivotButton="0" quotePrefix="0" xfId="0"/>
    <xf numFmtId="0" fontId="70" fillId="0" borderId="1" applyAlignment="1" pivotButton="0" quotePrefix="0" xfId="0">
      <alignment horizontal="left"/>
    </xf>
    <xf numFmtId="0" fontId="70" fillId="0" borderId="1" applyAlignment="1" pivotButton="0" quotePrefix="0" xfId="0">
      <alignment horizontal="center"/>
    </xf>
    <xf numFmtId="0" fontId="70" fillId="0" borderId="1" applyAlignment="1" pivotButton="0" quotePrefix="0" xfId="0">
      <alignment horizontal="center"/>
    </xf>
    <xf numFmtId="0" fontId="70" fillId="47" borderId="0" applyAlignment="1" pivotButton="0" quotePrefix="0" xfId="1595">
      <alignment horizontal="center" vertical="center"/>
    </xf>
    <xf numFmtId="0" fontId="70" fillId="0" borderId="0" applyAlignment="1" pivotButton="0" quotePrefix="0" xfId="0">
      <alignment vertical="center"/>
    </xf>
    <xf numFmtId="0" fontId="8" fillId="48" borderId="1" applyAlignment="1" pivotButton="0" quotePrefix="0" xfId="0">
      <alignment horizontal="center" vertical="center"/>
    </xf>
    <xf numFmtId="0" fontId="8" fillId="48" borderId="1" applyAlignment="1" pivotButton="0" quotePrefix="0" xfId="1595">
      <alignment horizontal="center" vertical="center"/>
    </xf>
    <xf numFmtId="164" fontId="65" fillId="0" borderId="1" applyAlignment="1" pivotButton="0" quotePrefix="0" xfId="1595">
      <alignment horizontal="center" vertical="center"/>
    </xf>
    <xf numFmtId="0" fontId="70" fillId="0" borderId="0" applyAlignment="1" pivotButton="0" quotePrefix="0" xfId="1595">
      <alignment horizontal="center" vertical="center"/>
    </xf>
    <xf numFmtId="0" fontId="8" fillId="0" borderId="0" applyAlignment="1" pivotButton="0" quotePrefix="0" xfId="1595">
      <alignment horizontal="left" vertical="center"/>
    </xf>
    <xf numFmtId="0" fontId="68" fillId="0" borderId="1" applyAlignment="1" pivotButton="0" quotePrefix="0" xfId="1595">
      <alignment horizontal="center" vertical="center"/>
    </xf>
    <xf numFmtId="0" fontId="65" fillId="0" borderId="1" applyAlignment="1" pivotButton="0" quotePrefix="0" xfId="1595">
      <alignment horizontal="right" vertical="center"/>
    </xf>
    <xf numFmtId="0" fontId="65" fillId="0" borderId="1" applyAlignment="1" pivotButton="0" quotePrefix="0" xfId="1595">
      <alignment horizontal="center" vertical="center"/>
    </xf>
    <xf numFmtId="0" fontId="8" fillId="0" borderId="1" applyAlignment="1" pivotButton="0" quotePrefix="0" xfId="1595">
      <alignment horizontal="center" vertical="center"/>
    </xf>
    <xf numFmtId="0" fontId="8" fillId="0" borderId="1" applyAlignment="1" pivotButton="0" quotePrefix="0" xfId="1595">
      <alignment horizontal="center" vertical="center"/>
    </xf>
    <xf numFmtId="0" fontId="71" fillId="0" borderId="0" applyAlignment="1" pivotButton="0" quotePrefix="0" xfId="1595">
      <alignment horizontal="center" vertical="center"/>
    </xf>
    <xf numFmtId="0" fontId="8" fillId="0" borderId="0" applyAlignment="1" pivotButton="0" quotePrefix="0" xfId="0">
      <alignment vertical="center"/>
    </xf>
    <xf numFmtId="0" fontId="8" fillId="0" borderId="1" applyAlignment="1" pivotButton="0" quotePrefix="0" xfId="1595">
      <alignment horizontal="left" vertical="center"/>
    </xf>
    <xf numFmtId="0" fontId="8" fillId="0" borderId="1" applyAlignment="1" pivotButton="0" quotePrefix="0" xfId="0">
      <alignment horizontal="left" vertical="center"/>
    </xf>
    <xf numFmtId="0" fontId="66" fillId="48" borderId="1" applyAlignment="1" pivotButton="0" quotePrefix="0" xfId="0">
      <alignment horizontal="center"/>
    </xf>
    <xf numFmtId="0" fontId="66" fillId="48" borderId="1" pivotButton="0" quotePrefix="0" xfId="0"/>
    <xf numFmtId="0" fontId="8" fillId="48" borderId="1" applyAlignment="1" pivotButton="0" quotePrefix="0" xfId="0">
      <alignment horizontal="left" vertical="center"/>
    </xf>
    <xf numFmtId="0" fontId="66" fillId="0" borderId="1" applyAlignment="1" pivotButton="0" quotePrefix="0" xfId="0">
      <alignment horizontal="center"/>
    </xf>
    <xf numFmtId="0" fontId="66" fillId="0" borderId="1" pivotButton="0" quotePrefix="0" xfId="0"/>
    <xf numFmtId="0" fontId="69" fillId="0" borderId="6" applyAlignment="1" pivotButton="0" quotePrefix="0" xfId="1595">
      <alignment horizontal="left" vertical="center"/>
    </xf>
    <xf numFmtId="0" fontId="69" fillId="0" borderId="5" applyAlignment="1" pivotButton="0" quotePrefix="0" xfId="1595">
      <alignment horizontal="left" vertical="center"/>
    </xf>
    <xf numFmtId="0" fontId="8" fillId="0" borderId="1" applyAlignment="1" pivotButton="0" quotePrefix="0" xfId="1595">
      <alignment horizontal="center" vertical="center"/>
    </xf>
    <xf numFmtId="0" fontId="72" fillId="0" borderId="1" applyAlignment="1" pivotButton="0" quotePrefix="0" xfId="0">
      <alignment horizontal="left" vertical="center"/>
    </xf>
    <xf numFmtId="0" fontId="72" fillId="0" borderId="1" applyAlignment="1" pivotButton="0" quotePrefix="0" xfId="1595">
      <alignment horizontal="center" vertical="center"/>
    </xf>
    <xf numFmtId="0" fontId="71" fillId="0" borderId="1" applyAlignment="1" pivotButton="0" quotePrefix="0" xfId="0">
      <alignment horizontal="center"/>
    </xf>
    <xf numFmtId="0" fontId="71" fillId="0" borderId="1" pivotButton="0" quotePrefix="0" xfId="0"/>
    <xf numFmtId="0" fontId="71" fillId="0" borderId="1" applyAlignment="1" pivotButton="0" quotePrefix="0" xfId="0">
      <alignment horizontal="left" vertical="center"/>
    </xf>
    <xf numFmtId="0" fontId="71" fillId="0" borderId="1" applyAlignment="1" pivotButton="0" quotePrefix="0" xfId="0">
      <alignment horizontal="center" vertical="center"/>
    </xf>
    <xf numFmtId="0" fontId="71" fillId="0" borderId="1" applyAlignment="1" pivotButton="0" quotePrefix="0" xfId="1595">
      <alignment horizontal="center" vertical="center"/>
    </xf>
    <xf numFmtId="0" fontId="70" fillId="0" borderId="1" applyAlignment="1" pivotButton="0" quotePrefix="0" xfId="0">
      <alignment horizontal="left" vertical="center"/>
    </xf>
    <xf numFmtId="0" fontId="70" fillId="0" borderId="1" applyAlignment="1" pivotButton="0" quotePrefix="0" xfId="1595">
      <alignment horizontal="center" vertical="center"/>
    </xf>
    <xf numFmtId="0" fontId="71" fillId="0" borderId="0" applyAlignment="1" pivotButton="0" quotePrefix="0" xfId="0">
      <alignment vertical="center"/>
    </xf>
    <xf numFmtId="0" fontId="71" fillId="0" borderId="0" applyAlignment="1" pivotButton="0" quotePrefix="0" xfId="0">
      <alignment vertical="center"/>
    </xf>
    <xf numFmtId="0" fontId="72" fillId="0" borderId="0" applyAlignment="1" pivotButton="0" quotePrefix="0" xfId="0">
      <alignment vertical="center"/>
    </xf>
    <xf numFmtId="0" fontId="72" fillId="0" borderId="0" applyAlignment="1" pivotButton="0" quotePrefix="0" xfId="0">
      <alignment vertical="center"/>
    </xf>
    <xf numFmtId="0" fontId="65" fillId="0" borderId="8" applyAlignment="1" pivotButton="0" quotePrefix="0" xfId="1595">
      <alignment horizontal="center" vertical="center"/>
    </xf>
    <xf numFmtId="0" fontId="65" fillId="0" borderId="7" applyAlignment="1" pivotButton="0" quotePrefix="0" xfId="1595">
      <alignment horizontal="left" vertical="center"/>
    </xf>
    <xf numFmtId="0" fontId="65" fillId="0" borderId="9" applyAlignment="1" pivotButton="0" quotePrefix="0" xfId="1595">
      <alignment horizontal="left" vertical="center"/>
    </xf>
    <xf numFmtId="0" fontId="65" fillId="0" borderId="8" applyAlignment="1" pivotButton="0" quotePrefix="0" xfId="1595">
      <alignment horizontal="left" vertical="center"/>
    </xf>
    <xf numFmtId="0" fontId="68" fillId="0" borderId="1" applyAlignment="1" pivotButton="0" quotePrefix="0" xfId="1595">
      <alignment horizontal="center" vertical="center"/>
    </xf>
    <xf numFmtId="0" fontId="65" fillId="0" borderId="7" applyAlignment="1" pivotButton="0" quotePrefix="0" xfId="1595">
      <alignment horizontal="center" vertical="center"/>
    </xf>
    <xf numFmtId="0" fontId="65" fillId="0" borderId="8" applyAlignment="1" pivotButton="0" quotePrefix="0" xfId="1595">
      <alignment horizontal="center" vertical="center"/>
    </xf>
    <xf numFmtId="0" fontId="65" fillId="0" borderId="9" applyAlignment="1" pivotButton="0" quotePrefix="0" xfId="1595">
      <alignment horizontal="center" vertical="center"/>
    </xf>
    <xf numFmtId="0" fontId="68" fillId="0" borderId="7" applyAlignment="1" pivotButton="0" quotePrefix="0" xfId="1595">
      <alignment horizontal="center" vertical="center"/>
    </xf>
    <xf numFmtId="0" fontId="68" fillId="0" borderId="9" applyAlignment="1" pivotButton="0" quotePrefix="0" xfId="1595">
      <alignment horizontal="center" vertical="center"/>
    </xf>
    <xf numFmtId="0" fontId="68" fillId="0" borderId="8" applyAlignment="1" pivotButton="0" quotePrefix="0" xfId="1595">
      <alignment horizontal="center" vertical="center"/>
    </xf>
    <xf numFmtId="0" fontId="65" fillId="0" borderId="1" applyAlignment="1" pivotButton="0" quotePrefix="0" xfId="1595">
      <alignment horizontal="right" vertical="center"/>
    </xf>
    <xf numFmtId="0" fontId="65" fillId="0" borderId="1" applyAlignment="1" pivotButton="0" quotePrefix="0" xfId="1595">
      <alignment horizontal="center" vertical="center"/>
    </xf>
    <xf numFmtId="0" fontId="8" fillId="0" borderId="1" applyAlignment="1" pivotButton="0" quotePrefix="0" xfId="1595">
      <alignment horizontal="center" vertical="center"/>
    </xf>
    <xf numFmtId="49" fontId="66" fillId="0" borderId="7" applyAlignment="1" pivotButton="0" quotePrefix="0" xfId="1595">
      <alignment horizontal="center" vertical="center"/>
    </xf>
    <xf numFmtId="49" fontId="66" fillId="0" borderId="9" applyAlignment="1" pivotButton="0" quotePrefix="0" xfId="1595">
      <alignment horizontal="center" vertical="center"/>
    </xf>
    <xf numFmtId="49" fontId="66" fillId="0" borderId="8" applyAlignment="1" pivotButton="0" quotePrefix="0" xfId="1595">
      <alignment horizontal="center" vertical="center"/>
    </xf>
    <xf numFmtId="0" fontId="69" fillId="0" borderId="5" applyAlignment="1" pivotButton="0" quotePrefix="0" xfId="1595">
      <alignment horizontal="left" vertical="center"/>
    </xf>
    <xf numFmtId="0" fontId="69" fillId="0" borderId="6" applyAlignment="1" pivotButton="0" quotePrefix="0" xfId="1595">
      <alignment horizontal="left" vertical="center"/>
    </xf>
    <xf numFmtId="0" fontId="69" fillId="0" borderId="5" applyAlignment="1" pivotButton="0" quotePrefix="0" xfId="1595">
      <alignment horizontal="left" vertical="center" wrapText="1"/>
    </xf>
    <xf numFmtId="0" fontId="69" fillId="0" borderId="6" applyAlignment="1" pivotButton="0" quotePrefix="0" xfId="1595">
      <alignment horizontal="left" vertical="center" wrapText="1"/>
    </xf>
    <xf numFmtId="0" fontId="66" fillId="0" borderId="10" applyAlignment="1" pivotButton="0" quotePrefix="0" xfId="1595">
      <alignment horizontal="center" vertical="center"/>
    </xf>
    <xf numFmtId="0" fontId="66" fillId="0" borderId="11" applyAlignment="1" pivotButton="0" quotePrefix="0" xfId="1595">
      <alignment horizontal="center" vertical="center"/>
    </xf>
    <xf numFmtId="0" fontId="66" fillId="0" borderId="12" applyAlignment="1" pivotButton="0" quotePrefix="0" xfId="1595">
      <alignment horizontal="center" vertical="center"/>
    </xf>
    <xf numFmtId="0" fontId="66" fillId="0" borderId="7" applyAlignment="1" pivotButton="0" quotePrefix="0" xfId="1595">
      <alignment horizontal="center" vertical="center"/>
    </xf>
    <xf numFmtId="0" fontId="66" fillId="0" borderId="9" applyAlignment="1" pivotButton="0" quotePrefix="0" xfId="1595">
      <alignment horizontal="center" vertical="center"/>
    </xf>
    <xf numFmtId="0" fontId="66" fillId="0" borderId="8" applyAlignment="1" pivotButton="0" quotePrefix="0" xfId="1595">
      <alignment horizontal="center" vertical="center"/>
    </xf>
    <xf numFmtId="0" fontId="8" fillId="0" borderId="7" applyAlignment="1" pivotButton="0" quotePrefix="0" xfId="1595">
      <alignment horizontal="center" vertical="center"/>
    </xf>
    <xf numFmtId="0" fontId="8" fillId="0" borderId="9" applyAlignment="1" pivotButton="0" quotePrefix="0" xfId="1595">
      <alignment horizontal="center" vertical="center"/>
    </xf>
    <xf numFmtId="0" fontId="8" fillId="0" borderId="8" applyAlignment="1" pivotButton="0" quotePrefix="0" xfId="1595">
      <alignment horizontal="center" vertical="center"/>
    </xf>
    <xf numFmtId="165" fontId="8" fillId="0" borderId="1" applyAlignment="1" pivotButton="0" quotePrefix="0" xfId="1595">
      <alignment horizontal="center" vertical="center"/>
    </xf>
    <xf numFmtId="0" fontId="65" fillId="0" borderId="1" applyAlignment="1" pivotButton="0" quotePrefix="0" xfId="1595">
      <alignment horizontal="left" vertical="center"/>
    </xf>
    <xf numFmtId="0" fontId="69" fillId="0" borderId="5" applyAlignment="1" pivotButton="0" quotePrefix="0" xfId="1595">
      <alignment horizontal="left" vertical="center"/>
    </xf>
    <xf numFmtId="0" fontId="69" fillId="0" borderId="6" applyAlignment="1" pivotButton="0" quotePrefix="0" xfId="1595">
      <alignment horizontal="left" vertical="center"/>
    </xf>
    <xf numFmtId="0" fontId="65" fillId="0" borderId="4" applyAlignment="1" pivotButton="0" quotePrefix="0" xfId="1595">
      <alignment horizontal="left" vertical="center"/>
    </xf>
    <xf numFmtId="164" fontId="65" fillId="0" borderId="8" applyAlignment="1" pivotButton="0" quotePrefix="0" xfId="1595">
      <alignment horizontal="center" vertical="center"/>
    </xf>
    <xf numFmtId="0" fontId="66" fillId="0" borderId="0" applyAlignment="1" pivotButton="0" quotePrefix="0" xfId="1595">
      <alignment horizontal="center" vertical="center"/>
    </xf>
    <xf numFmtId="0" fontId="66" fillId="0" borderId="28" applyAlignment="1" pivotButton="0" quotePrefix="0" xfId="1595">
      <alignment horizontal="center" vertical="center"/>
    </xf>
    <xf numFmtId="0" fontId="69" fillId="0" borderId="27" applyAlignment="1" pivotButton="0" quotePrefix="0" xfId="1595">
      <alignment horizontal="left" vertical="center"/>
    </xf>
    <xf numFmtId="164" fontId="65" fillId="0" borderId="1" applyAlignment="1" pivotButton="0" quotePrefix="0" xfId="1595">
      <alignment horizontal="center" vertical="center"/>
    </xf>
    <xf numFmtId="165" fontId="8" fillId="0" borderId="1" applyAlignment="1" pivotButton="0" quotePrefix="0" xfId="1595">
      <alignment horizontal="center" vertical="center"/>
    </xf>
    <xf numFmtId="49" fontId="66" fillId="0" borderId="1" applyAlignment="1" pivotButton="0" quotePrefix="0" xfId="1595">
      <alignment horizontal="center" vertical="center"/>
    </xf>
    <xf numFmtId="0" fontId="69" fillId="0" borderId="27" applyAlignment="1" pivotButton="0" quotePrefix="0" xfId="1595">
      <alignment horizontal="left" vertical="center" wrapText="1"/>
    </xf>
    <xf numFmtId="0" fontId="0" fillId="0" borderId="0" pivotButton="0" quotePrefix="0" xfId="0"/>
    <xf numFmtId="0" fontId="74" fillId="0" borderId="0" pivotButton="0" quotePrefix="0" xfId="0"/>
    <xf numFmtId="0" fontId="74" fillId="0" borderId="0" applyAlignment="1" pivotButton="0" quotePrefix="0" xfId="1595">
      <alignment horizontal="center" vertical="center"/>
    </xf>
    <xf numFmtId="0" fontId="74" fillId="0" borderId="0" applyAlignment="1" pivotButton="0" quotePrefix="0" xfId="0">
      <alignment vertical="center"/>
    </xf>
  </cellXfs>
  <cellStyles count="10388">
    <cellStyle name="표준" xfId="0" builtinId="0"/>
    <cellStyle name="20% - Accent1 2" xfId="1"/>
    <cellStyle name="20% - Accent1 2 2" xfId="2"/>
    <cellStyle name="20% - Accent1 2 2 2" xfId="3"/>
    <cellStyle name="20% - Accent1 2 2 3" xfId="4"/>
    <cellStyle name="20% - Accent1 2 2 4" xfId="5"/>
    <cellStyle name="20% - Accent1 2 3" xfId="6"/>
    <cellStyle name="20% - Accent1 2 4" xfId="7"/>
    <cellStyle name="20% - Accent1 2 5" xfId="8"/>
    <cellStyle name="20% - Accent1 3" xfId="9"/>
    <cellStyle name="20% - Accent1 3 2" xfId="10"/>
    <cellStyle name="20% - Accent1 3 2 2" xfId="11"/>
    <cellStyle name="20% - Accent1 3 2 3" xfId="12"/>
    <cellStyle name="20% - Accent1 3 2 4" xfId="13"/>
    <cellStyle name="20% - Accent1 3 3" xfId="14"/>
    <cellStyle name="20% - Accent1 3 4" xfId="15"/>
    <cellStyle name="20% - Accent1 3 5" xfId="16"/>
    <cellStyle name="20% - Accent1 4" xfId="17"/>
    <cellStyle name="20% - Accent1 4 2" xfId="18"/>
    <cellStyle name="20% - Accent1 4 3" xfId="19"/>
    <cellStyle name="20% - Accent1 4 4" xfId="20"/>
    <cellStyle name="20% - Accent2 2" xfId="21"/>
    <cellStyle name="20% - Accent2 2 2" xfId="22"/>
    <cellStyle name="20% - Accent2 2 2 2" xfId="23"/>
    <cellStyle name="20% - Accent2 2 2 3" xfId="24"/>
    <cellStyle name="20% - Accent2 2 2 4" xfId="25"/>
    <cellStyle name="20% - Accent2 2 3" xfId="26"/>
    <cellStyle name="20% - Accent2 2 4" xfId="27"/>
    <cellStyle name="20% - Accent2 2 5" xfId="28"/>
    <cellStyle name="20% - Accent2 3" xfId="29"/>
    <cellStyle name="20% - Accent2 3 2" xfId="30"/>
    <cellStyle name="20% - Accent2 3 2 2" xfId="31"/>
    <cellStyle name="20% - Accent2 3 2 3" xfId="32"/>
    <cellStyle name="20% - Accent2 3 2 4" xfId="33"/>
    <cellStyle name="20% - Accent2 3 3" xfId="34"/>
    <cellStyle name="20% - Accent2 3 4" xfId="35"/>
    <cellStyle name="20% - Accent2 3 5" xfId="36"/>
    <cellStyle name="20% - Accent2 4" xfId="37"/>
    <cellStyle name="20% - Accent2 4 2" xfId="38"/>
    <cellStyle name="20% - Accent2 4 3" xfId="39"/>
    <cellStyle name="20% - Accent2 4 4" xfId="40"/>
    <cellStyle name="20% - Accent3 2" xfId="41"/>
    <cellStyle name="20% - Accent3 2 2" xfId="42"/>
    <cellStyle name="20% - Accent3 2 2 2" xfId="43"/>
    <cellStyle name="20% - Accent3 2 2 3" xfId="44"/>
    <cellStyle name="20% - Accent3 2 2 4" xfId="45"/>
    <cellStyle name="20% - Accent3 2 3" xfId="46"/>
    <cellStyle name="20% - Accent3 2 4" xfId="47"/>
    <cellStyle name="20% - Accent3 2 5" xfId="48"/>
    <cellStyle name="20% - Accent3 3" xfId="49"/>
    <cellStyle name="20% - Accent3 3 2" xfId="50"/>
    <cellStyle name="20% - Accent3 3 2 2" xfId="51"/>
    <cellStyle name="20% - Accent3 3 2 3" xfId="52"/>
    <cellStyle name="20% - Accent3 3 2 4" xfId="53"/>
    <cellStyle name="20% - Accent3 3 3" xfId="54"/>
    <cellStyle name="20% - Accent3 3 4" xfId="55"/>
    <cellStyle name="20% - Accent3 3 5" xfId="56"/>
    <cellStyle name="20% - Accent3 4" xfId="57"/>
    <cellStyle name="20% - Accent3 4 2" xfId="58"/>
    <cellStyle name="20% - Accent3 4 3" xfId="59"/>
    <cellStyle name="20% - Accent3 4 4" xfId="60"/>
    <cellStyle name="20% - Accent4 2" xfId="61"/>
    <cellStyle name="20% - Accent4 2 2" xfId="62"/>
    <cellStyle name="20% - Accent4 2 2 2" xfId="63"/>
    <cellStyle name="20% - Accent4 2 2 3" xfId="64"/>
    <cellStyle name="20% - Accent4 2 2 4" xfId="65"/>
    <cellStyle name="20% - Accent4 2 3" xfId="66"/>
    <cellStyle name="20% - Accent4 2 4" xfId="67"/>
    <cellStyle name="20% - Accent4 2 5" xfId="68"/>
    <cellStyle name="20% - Accent4 3" xfId="69"/>
    <cellStyle name="20% - Accent4 3 2" xfId="70"/>
    <cellStyle name="20% - Accent4 3 2 2" xfId="71"/>
    <cellStyle name="20% - Accent4 3 2 3" xfId="72"/>
    <cellStyle name="20% - Accent4 3 2 4" xfId="73"/>
    <cellStyle name="20% - Accent4 3 3" xfId="74"/>
    <cellStyle name="20% - Accent4 3 4" xfId="75"/>
    <cellStyle name="20% - Accent4 3 5" xfId="76"/>
    <cellStyle name="20% - Accent4 4" xfId="77"/>
    <cellStyle name="20% - Accent4 4 2" xfId="78"/>
    <cellStyle name="20% - Accent4 4 3" xfId="79"/>
    <cellStyle name="20% - Accent4 4 4" xfId="80"/>
    <cellStyle name="20% - Accent5 2" xfId="81"/>
    <cellStyle name="20% - Accent5 2 2" xfId="82"/>
    <cellStyle name="20% - Accent5 2 2 2" xfId="83"/>
    <cellStyle name="20% - Accent5 2 2 3" xfId="84"/>
    <cellStyle name="20% - Accent5 2 2 4" xfId="85"/>
    <cellStyle name="20% - Accent5 2 3" xfId="86"/>
    <cellStyle name="20% - Accent5 2 4" xfId="87"/>
    <cellStyle name="20% - Accent5 2 5" xfId="88"/>
    <cellStyle name="20% - Accent5 3" xfId="89"/>
    <cellStyle name="20% - Accent5 3 2" xfId="90"/>
    <cellStyle name="20% - Accent5 3 2 2" xfId="91"/>
    <cellStyle name="20% - Accent5 3 2 3" xfId="92"/>
    <cellStyle name="20% - Accent5 3 2 4" xfId="93"/>
    <cellStyle name="20% - Accent5 3 3" xfId="94"/>
    <cellStyle name="20% - Accent5 3 4" xfId="95"/>
    <cellStyle name="20% - Accent5 3 5" xfId="96"/>
    <cellStyle name="20% - Accent5 4" xfId="97"/>
    <cellStyle name="20% - Accent5 4 2" xfId="98"/>
    <cellStyle name="20% - Accent5 4 3" xfId="99"/>
    <cellStyle name="20% - Accent5 4 4" xfId="100"/>
    <cellStyle name="20% - Accent6 2" xfId="101"/>
    <cellStyle name="20% - Accent6 2 2" xfId="102"/>
    <cellStyle name="20% - Accent6 2 2 2" xfId="103"/>
    <cellStyle name="20% - Accent6 2 2 3" xfId="104"/>
    <cellStyle name="20% - Accent6 2 2 4" xfId="105"/>
    <cellStyle name="20% - Accent6 2 3" xfId="106"/>
    <cellStyle name="20% - Accent6 2 4" xfId="107"/>
    <cellStyle name="20% - Accent6 2 5" xfId="108"/>
    <cellStyle name="20% - Accent6 3" xfId="109"/>
    <cellStyle name="20% - Accent6 3 2" xfId="110"/>
    <cellStyle name="20% - Accent6 3 2 2" xfId="111"/>
    <cellStyle name="20% - Accent6 3 2 3" xfId="112"/>
    <cellStyle name="20% - Accent6 3 2 4" xfId="113"/>
    <cellStyle name="20% - Accent6 3 3" xfId="114"/>
    <cellStyle name="20% - Accent6 3 4" xfId="115"/>
    <cellStyle name="20% - Accent6 3 5" xfId="116"/>
    <cellStyle name="20% - Accent6 4" xfId="117"/>
    <cellStyle name="20% - Accent6 4 2" xfId="118"/>
    <cellStyle name="20% - Accent6 4 3" xfId="119"/>
    <cellStyle name="20% - Accent6 4 4" xfId="120"/>
    <cellStyle name="20% - 강조색1 2" xfId="121"/>
    <cellStyle name="20% - 강조색1 2 2" xfId="122"/>
    <cellStyle name="20% - 강조색1 2 3" xfId="123"/>
    <cellStyle name="20% - 강조색1 2 4" xfId="124"/>
    <cellStyle name="20% - 강조색2 2" xfId="125"/>
    <cellStyle name="20% - 강조색2 2 2" xfId="126"/>
    <cellStyle name="20% - 강조색2 2 3" xfId="127"/>
    <cellStyle name="20% - 강조색2 2 4" xfId="128"/>
    <cellStyle name="20% - 강조색3 2" xfId="129"/>
    <cellStyle name="20% - 강조색3 2 2" xfId="130"/>
    <cellStyle name="20% - 강조색3 2 3" xfId="131"/>
    <cellStyle name="20% - 강조색3 2 4" xfId="132"/>
    <cellStyle name="20% - 강조색4 2" xfId="133"/>
    <cellStyle name="20% - 강조색4 2 2" xfId="134"/>
    <cellStyle name="20% - 강조색4 2 3" xfId="135"/>
    <cellStyle name="20% - 강조색4 2 4" xfId="136"/>
    <cellStyle name="20% - 강조색5 2" xfId="137"/>
    <cellStyle name="20% - 강조색5 2 2" xfId="138"/>
    <cellStyle name="20% - 강조색5 2 3" xfId="139"/>
    <cellStyle name="20% - 강조색5 2 4" xfId="140"/>
    <cellStyle name="20% - 강조색6 2" xfId="141"/>
    <cellStyle name="20% - 강조색6 2 2" xfId="142"/>
    <cellStyle name="20% - 강조색6 2 3" xfId="143"/>
    <cellStyle name="20% - 강조색6 2 4" xfId="144"/>
    <cellStyle name="40% - Accent1 2" xfId="145"/>
    <cellStyle name="40% - Accent1 2 2" xfId="146"/>
    <cellStyle name="40% - Accent1 2 2 2" xfId="147"/>
    <cellStyle name="40% - Accent1 2 2 3" xfId="148"/>
    <cellStyle name="40% - Accent1 2 2 4" xfId="149"/>
    <cellStyle name="40% - Accent1 2 3" xfId="150"/>
    <cellStyle name="40% - Accent1 2 4" xfId="151"/>
    <cellStyle name="40% - Accent1 2 5" xfId="152"/>
    <cellStyle name="40% - Accent1 3" xfId="153"/>
    <cellStyle name="40% - Accent1 3 2" xfId="154"/>
    <cellStyle name="40% - Accent1 3 2 2" xfId="155"/>
    <cellStyle name="40% - Accent1 3 2 3" xfId="156"/>
    <cellStyle name="40% - Accent1 3 2 4" xfId="157"/>
    <cellStyle name="40% - Accent1 3 3" xfId="158"/>
    <cellStyle name="40% - Accent1 3 4" xfId="159"/>
    <cellStyle name="40% - Accent1 3 5" xfId="160"/>
    <cellStyle name="40% - Accent1 4" xfId="161"/>
    <cellStyle name="40% - Accent1 4 2" xfId="162"/>
    <cellStyle name="40% - Accent1 4 3" xfId="163"/>
    <cellStyle name="40% - Accent1 4 4" xfId="164"/>
    <cellStyle name="40% - Accent2 2" xfId="165"/>
    <cellStyle name="40% - Accent2 2 2" xfId="166"/>
    <cellStyle name="40% - Accent2 2 2 2" xfId="167"/>
    <cellStyle name="40% - Accent2 2 2 3" xfId="168"/>
    <cellStyle name="40% - Accent2 2 2 4" xfId="169"/>
    <cellStyle name="40% - Accent2 2 3" xfId="170"/>
    <cellStyle name="40% - Accent2 2 4" xfId="171"/>
    <cellStyle name="40% - Accent2 2 5" xfId="172"/>
    <cellStyle name="40% - Accent2 3" xfId="173"/>
    <cellStyle name="40% - Accent2 3 2" xfId="174"/>
    <cellStyle name="40% - Accent2 3 2 2" xfId="175"/>
    <cellStyle name="40% - Accent2 3 2 3" xfId="176"/>
    <cellStyle name="40% - Accent2 3 2 4" xfId="177"/>
    <cellStyle name="40% - Accent2 3 3" xfId="178"/>
    <cellStyle name="40% - Accent2 3 4" xfId="179"/>
    <cellStyle name="40% - Accent2 3 5" xfId="180"/>
    <cellStyle name="40% - Accent2 4" xfId="181"/>
    <cellStyle name="40% - Accent2 4 2" xfId="182"/>
    <cellStyle name="40% - Accent2 4 3" xfId="183"/>
    <cellStyle name="40% - Accent2 4 4" xfId="184"/>
    <cellStyle name="40% - Accent3 2" xfId="185"/>
    <cellStyle name="40% - Accent3 2 2" xfId="186"/>
    <cellStyle name="40% - Accent3 2 2 2" xfId="187"/>
    <cellStyle name="40% - Accent3 2 2 3" xfId="188"/>
    <cellStyle name="40% - Accent3 2 2 4" xfId="189"/>
    <cellStyle name="40% - Accent3 2 3" xfId="190"/>
    <cellStyle name="40% - Accent3 2 4" xfId="191"/>
    <cellStyle name="40% - Accent3 2 5" xfId="192"/>
    <cellStyle name="40% - Accent3 3" xfId="193"/>
    <cellStyle name="40% - Accent3 3 2" xfId="194"/>
    <cellStyle name="40% - Accent3 3 2 2" xfId="195"/>
    <cellStyle name="40% - Accent3 3 2 3" xfId="196"/>
    <cellStyle name="40% - Accent3 3 2 4" xfId="197"/>
    <cellStyle name="40% - Accent3 3 3" xfId="198"/>
    <cellStyle name="40% - Accent3 3 4" xfId="199"/>
    <cellStyle name="40% - Accent3 3 5" xfId="200"/>
    <cellStyle name="40% - Accent3 4" xfId="201"/>
    <cellStyle name="40% - Accent3 4 2" xfId="202"/>
    <cellStyle name="40% - Accent3 4 3" xfId="203"/>
    <cellStyle name="40% - Accent3 4 4" xfId="204"/>
    <cellStyle name="40% - Accent4 2" xfId="205"/>
    <cellStyle name="40% - Accent4 2 2" xfId="206"/>
    <cellStyle name="40% - Accent4 2 2 2" xfId="207"/>
    <cellStyle name="40% - Accent4 2 2 3" xfId="208"/>
    <cellStyle name="40% - Accent4 2 2 4" xfId="209"/>
    <cellStyle name="40% - Accent4 2 3" xfId="210"/>
    <cellStyle name="40% - Accent4 2 4" xfId="211"/>
    <cellStyle name="40% - Accent4 2 5" xfId="212"/>
    <cellStyle name="40% - Accent4 3" xfId="213"/>
    <cellStyle name="40% - Accent4 3 2" xfId="214"/>
    <cellStyle name="40% - Accent4 3 2 2" xfId="215"/>
    <cellStyle name="40% - Accent4 3 2 3" xfId="216"/>
    <cellStyle name="40% - Accent4 3 2 4" xfId="217"/>
    <cellStyle name="40% - Accent4 3 3" xfId="218"/>
    <cellStyle name="40% - Accent4 3 4" xfId="219"/>
    <cellStyle name="40% - Accent4 3 5" xfId="220"/>
    <cellStyle name="40% - Accent4 4" xfId="221"/>
    <cellStyle name="40% - Accent4 4 2" xfId="222"/>
    <cellStyle name="40% - Accent4 4 3" xfId="223"/>
    <cellStyle name="40% - Accent4 4 4" xfId="224"/>
    <cellStyle name="40% - Accent5 2" xfId="225"/>
    <cellStyle name="40% - Accent5 2 2" xfId="226"/>
    <cellStyle name="40% - Accent5 2 2 2" xfId="227"/>
    <cellStyle name="40% - Accent5 2 2 3" xfId="228"/>
    <cellStyle name="40% - Accent5 2 2 4" xfId="229"/>
    <cellStyle name="40% - Accent5 2 3" xfId="230"/>
    <cellStyle name="40% - Accent5 2 4" xfId="231"/>
    <cellStyle name="40% - Accent5 2 5" xfId="232"/>
    <cellStyle name="40% - Accent5 3" xfId="233"/>
    <cellStyle name="40% - Accent5 3 2" xfId="234"/>
    <cellStyle name="40% - Accent5 3 2 2" xfId="235"/>
    <cellStyle name="40% - Accent5 3 2 3" xfId="236"/>
    <cellStyle name="40% - Accent5 3 2 4" xfId="237"/>
    <cellStyle name="40% - Accent5 3 3" xfId="238"/>
    <cellStyle name="40% - Accent5 3 4" xfId="239"/>
    <cellStyle name="40% - Accent5 3 5" xfId="240"/>
    <cellStyle name="40% - Accent5 4" xfId="241"/>
    <cellStyle name="40% - Accent5 4 2" xfId="242"/>
    <cellStyle name="40% - Accent5 4 3" xfId="243"/>
    <cellStyle name="40% - Accent5 4 4" xfId="244"/>
    <cellStyle name="40% - Accent6 2" xfId="245"/>
    <cellStyle name="40% - Accent6 2 2" xfId="246"/>
    <cellStyle name="40% - Accent6 2 2 2" xfId="247"/>
    <cellStyle name="40% - Accent6 2 2 3" xfId="248"/>
    <cellStyle name="40% - Accent6 2 2 4" xfId="249"/>
    <cellStyle name="40% - Accent6 2 3" xfId="250"/>
    <cellStyle name="40% - Accent6 2 4" xfId="251"/>
    <cellStyle name="40% - Accent6 2 5" xfId="252"/>
    <cellStyle name="40% - Accent6 3" xfId="253"/>
    <cellStyle name="40% - Accent6 3 2" xfId="254"/>
    <cellStyle name="40% - Accent6 3 2 2" xfId="255"/>
    <cellStyle name="40% - Accent6 3 2 3" xfId="256"/>
    <cellStyle name="40% - Accent6 3 2 4" xfId="257"/>
    <cellStyle name="40% - Accent6 3 3" xfId="258"/>
    <cellStyle name="40% - Accent6 3 4" xfId="259"/>
    <cellStyle name="40% - Accent6 3 5" xfId="260"/>
    <cellStyle name="40% - Accent6 4" xfId="261"/>
    <cellStyle name="40% - Accent6 4 2" xfId="262"/>
    <cellStyle name="40% - Accent6 4 3" xfId="263"/>
    <cellStyle name="40% - Accent6 4 4" xfId="264"/>
    <cellStyle name="40% - 강조색1 2" xfId="265"/>
    <cellStyle name="40% - 강조색1 2 2" xfId="266"/>
    <cellStyle name="40% - 강조색1 2 3" xfId="267"/>
    <cellStyle name="40% - 강조색1 2 4" xfId="268"/>
    <cellStyle name="40% - 강조색2 2" xfId="269"/>
    <cellStyle name="40% - 강조색2 2 2" xfId="270"/>
    <cellStyle name="40% - 강조색2 2 3" xfId="271"/>
    <cellStyle name="40% - 강조색2 2 4" xfId="272"/>
    <cellStyle name="40% - 강조색3 2" xfId="273"/>
    <cellStyle name="40% - 강조색3 2 2" xfId="274"/>
    <cellStyle name="40% - 강조색3 2 3" xfId="275"/>
    <cellStyle name="40% - 강조색3 2 4" xfId="276"/>
    <cellStyle name="40% - 강조색4 2" xfId="277"/>
    <cellStyle name="40% - 강조색4 2 2" xfId="278"/>
    <cellStyle name="40% - 강조색4 2 3" xfId="279"/>
    <cellStyle name="40% - 강조색4 2 4" xfId="280"/>
    <cellStyle name="40% - 강조색5 2" xfId="281"/>
    <cellStyle name="40% - 강조색5 2 2" xfId="282"/>
    <cellStyle name="40% - 강조색5 2 3" xfId="283"/>
    <cellStyle name="40% - 강조색5 2 4" xfId="284"/>
    <cellStyle name="40% - 강조색6 2" xfId="285"/>
    <cellStyle name="40% - 강조색6 2 2" xfId="286"/>
    <cellStyle name="40% - 강조색6 2 3" xfId="287"/>
    <cellStyle name="40% - 강조색6 2 4" xfId="288"/>
    <cellStyle name="60% - 강조색1 2" xfId="289"/>
    <cellStyle name="60% - 강조색1 2 2" xfId="290"/>
    <cellStyle name="60% - 강조색1 2 3" xfId="291"/>
    <cellStyle name="60% - 강조색1 2 4" xfId="292"/>
    <cellStyle name="60% - 강조색2 2" xfId="293"/>
    <cellStyle name="60% - 강조색2 2 2" xfId="294"/>
    <cellStyle name="60% - 강조색2 2 3" xfId="295"/>
    <cellStyle name="60% - 강조색2 2 4" xfId="296"/>
    <cellStyle name="60% - 강조색3 2" xfId="297"/>
    <cellStyle name="60% - 강조색3 2 2" xfId="298"/>
    <cellStyle name="60% - 강조색3 2 3" xfId="299"/>
    <cellStyle name="60% - 강조색3 2 4" xfId="300"/>
    <cellStyle name="60% - 강조색4 2" xfId="301"/>
    <cellStyle name="60% - 강조색4 2 2" xfId="302"/>
    <cellStyle name="60% - 강조색4 2 3" xfId="303"/>
    <cellStyle name="60% - 강조색4 2 4" xfId="304"/>
    <cellStyle name="60% - 강조색5 2" xfId="305"/>
    <cellStyle name="60% - 강조색5 2 2" xfId="306"/>
    <cellStyle name="60% - 강조색5 2 3" xfId="307"/>
    <cellStyle name="60% - 강조색5 2 4" xfId="308"/>
    <cellStyle name="60% - 강조색6 2" xfId="309"/>
    <cellStyle name="60% - 강조색6 2 2" xfId="310"/>
    <cellStyle name="60% - 강조색6 2 3" xfId="311"/>
    <cellStyle name="60% - 강조색6 2 4" xfId="312"/>
    <cellStyle name="Ç¥ÁØ_SCI SANMINA RETROFIT-BM 102571" xfId="313"/>
    <cellStyle name="Normal 10" xfId="314"/>
    <cellStyle name="Normal 11" xfId="315"/>
    <cellStyle name="Normal 12" xfId="316"/>
    <cellStyle name="Normal 2" xfId="317"/>
    <cellStyle name="Normal 2 10" xfId="318"/>
    <cellStyle name="Normal 2 2" xfId="319"/>
    <cellStyle name="Normal 2 2 2" xfId="320"/>
    <cellStyle name="Normal 2 2 2 2" xfId="321"/>
    <cellStyle name="Normal 2 2 2 2 2" xfId="322"/>
    <cellStyle name="Normal 2 2 2 2 3" xfId="323"/>
    <cellStyle name="Normal 2 2 2 2 4" xfId="324"/>
    <cellStyle name="Normal 2 2 2 3" xfId="325"/>
    <cellStyle name="Normal 2 2 2 3 2" xfId="326"/>
    <cellStyle name="Normal 2 2 2 3 3" xfId="327"/>
    <cellStyle name="Normal 2 2 2 3 4" xfId="328"/>
    <cellStyle name="Normal 2 2 2 4" xfId="329"/>
    <cellStyle name="Normal 2 2 2 4 2" xfId="330"/>
    <cellStyle name="Normal 2 2 2 4 3" xfId="331"/>
    <cellStyle name="Normal 2 2 2 4 4" xfId="332"/>
    <cellStyle name="Normal 2 2 2 5" xfId="333"/>
    <cellStyle name="Normal 2 2 2 6" xfId="334"/>
    <cellStyle name="Normal 2 2 2 7" xfId="335"/>
    <cellStyle name="Normal 2 2 3" xfId="336"/>
    <cellStyle name="Normal 2 2 3 2" xfId="337"/>
    <cellStyle name="Normal 2 2 3 2 2" xfId="338"/>
    <cellStyle name="Normal 2 2 3 2 3" xfId="339"/>
    <cellStyle name="Normal 2 2 3 2 4" xfId="340"/>
    <cellStyle name="Normal 2 2 3 3" xfId="341"/>
    <cellStyle name="Normal 2 2 3 3 2" xfId="342"/>
    <cellStyle name="Normal 2 2 3 3 3" xfId="343"/>
    <cellStyle name="Normal 2 2 3 3 4" xfId="344"/>
    <cellStyle name="Normal 2 2 3 4" xfId="345"/>
    <cellStyle name="Normal 2 2 3 4 2" xfId="346"/>
    <cellStyle name="Normal 2 2 3 4 3" xfId="347"/>
    <cellStyle name="Normal 2 2 3 4 4" xfId="348"/>
    <cellStyle name="Normal 2 2 3 5" xfId="349"/>
    <cellStyle name="Normal 2 2 3 6" xfId="350"/>
    <cellStyle name="Normal 2 2 3 7" xfId="351"/>
    <cellStyle name="Normal 2 2 4" xfId="352"/>
    <cellStyle name="Normal 2 2 4 2" xfId="353"/>
    <cellStyle name="Normal 2 2 4 3" xfId="354"/>
    <cellStyle name="Normal 2 2 4 4" xfId="355"/>
    <cellStyle name="Normal 2 2 5" xfId="356"/>
    <cellStyle name="Normal 2 2 5 2" xfId="357"/>
    <cellStyle name="Normal 2 2 5 3" xfId="358"/>
    <cellStyle name="Normal 2 2 5 4" xfId="359"/>
    <cellStyle name="Normal 2 2 6" xfId="360"/>
    <cellStyle name="Normal 2 2 6 2" xfId="361"/>
    <cellStyle name="Normal 2 2 6 3" xfId="362"/>
    <cellStyle name="Normal 2 2 6 4" xfId="363"/>
    <cellStyle name="Normal 2 2 7" xfId="364"/>
    <cellStyle name="Normal 2 2 8" xfId="365"/>
    <cellStyle name="Normal 2 2 9" xfId="366"/>
    <cellStyle name="Normal 2 3" xfId="367"/>
    <cellStyle name="Normal 2 3 2" xfId="368"/>
    <cellStyle name="Normal 2 3 2 2" xfId="369"/>
    <cellStyle name="Normal 2 3 2 3" xfId="370"/>
    <cellStyle name="Normal 2 3 2 4" xfId="371"/>
    <cellStyle name="Normal 2 3 3" xfId="372"/>
    <cellStyle name="Normal 2 3 3 2" xfId="373"/>
    <cellStyle name="Normal 2 3 3 3" xfId="374"/>
    <cellStyle name="Normal 2 3 3 4" xfId="375"/>
    <cellStyle name="Normal 2 3 4" xfId="376"/>
    <cellStyle name="Normal 2 3 4 2" xfId="377"/>
    <cellStyle name="Normal 2 3 4 3" xfId="378"/>
    <cellStyle name="Normal 2 3 4 4" xfId="379"/>
    <cellStyle name="Normal 2 3 5" xfId="380"/>
    <cellStyle name="Normal 2 3 6" xfId="381"/>
    <cellStyle name="Normal 2 3 7" xfId="382"/>
    <cellStyle name="Normal 2 4" xfId="383"/>
    <cellStyle name="Normal 2 4 2" xfId="384"/>
    <cellStyle name="Normal 2 4 2 2" xfId="385"/>
    <cellStyle name="Normal 2 4 2 3" xfId="386"/>
    <cellStyle name="Normal 2 4 2 4" xfId="387"/>
    <cellStyle name="Normal 2 4 3" xfId="388"/>
    <cellStyle name="Normal 2 4 3 2" xfId="389"/>
    <cellStyle name="Normal 2 4 3 3" xfId="390"/>
    <cellStyle name="Normal 2 4 3 4" xfId="391"/>
    <cellStyle name="Normal 2 4 4" xfId="392"/>
    <cellStyle name="Normal 2 4 4 2" xfId="393"/>
    <cellStyle name="Normal 2 4 4 3" xfId="394"/>
    <cellStyle name="Normal 2 4 4 4" xfId="395"/>
    <cellStyle name="Normal 2 4 5" xfId="396"/>
    <cellStyle name="Normal 2 4 6" xfId="397"/>
    <cellStyle name="Normal 2 4 7" xfId="398"/>
    <cellStyle name="Normal 2 5" xfId="399"/>
    <cellStyle name="Normal 2 5 2" xfId="400"/>
    <cellStyle name="Normal 2 5 2 2" xfId="401"/>
    <cellStyle name="Normal 2 5 2 3" xfId="402"/>
    <cellStyle name="Normal 2 5 2 4" xfId="403"/>
    <cellStyle name="Normal 2 5 3" xfId="404"/>
    <cellStyle name="Normal 2 5 4" xfId="405"/>
    <cellStyle name="Normal 2 5 5" xfId="406"/>
    <cellStyle name="Normal 2 6" xfId="407"/>
    <cellStyle name="Normal 2 6 2" xfId="408"/>
    <cellStyle name="Normal 2 6 3" xfId="409"/>
    <cellStyle name="Normal 2 6 4" xfId="410"/>
    <cellStyle name="Normal 2 7" xfId="411"/>
    <cellStyle name="Normal 2 7 2" xfId="412"/>
    <cellStyle name="Normal 2 7 3" xfId="413"/>
    <cellStyle name="Normal 2 7 4" xfId="414"/>
    <cellStyle name="Normal 2 8" xfId="415"/>
    <cellStyle name="Normal 2 9" xfId="416"/>
    <cellStyle name="Normal 3" xfId="417"/>
    <cellStyle name="Normal 3 2" xfId="418"/>
    <cellStyle name="Normal 3 2 2" xfId="419"/>
    <cellStyle name="Normal 3 2 2 2" xfId="420"/>
    <cellStyle name="Normal 3 2 2 3" xfId="421"/>
    <cellStyle name="Normal 3 2 2 4" xfId="422"/>
    <cellStyle name="Normal 3 2 3" xfId="423"/>
    <cellStyle name="Normal 3 2 3 2" xfId="424"/>
    <cellStyle name="Normal 3 2 3 3" xfId="425"/>
    <cellStyle name="Normal 3 2 3 4" xfId="426"/>
    <cellStyle name="Normal 3 2 4" xfId="427"/>
    <cellStyle name="Normal 3 2 4 2" xfId="428"/>
    <cellStyle name="Normal 3 2 4 3" xfId="429"/>
    <cellStyle name="Normal 3 2 4 4" xfId="430"/>
    <cellStyle name="Normal 3 2 5" xfId="431"/>
    <cellStyle name="Normal 3 2 6" xfId="432"/>
    <cellStyle name="Normal 3 2 7" xfId="433"/>
    <cellStyle name="Normal 3 3" xfId="434"/>
    <cellStyle name="Normal 3 3 2" xfId="435"/>
    <cellStyle name="Normal 3 3 2 2" xfId="436"/>
    <cellStyle name="Normal 3 3 2 3" xfId="437"/>
    <cellStyle name="Normal 3 3 2 4" xfId="438"/>
    <cellStyle name="Normal 3 3 3" xfId="439"/>
    <cellStyle name="Normal 3 3 3 2" xfId="440"/>
    <cellStyle name="Normal 3 3 3 3" xfId="441"/>
    <cellStyle name="Normal 3 3 3 4" xfId="442"/>
    <cellStyle name="Normal 3 3 4" xfId="443"/>
    <cellStyle name="Normal 3 3 4 2" xfId="444"/>
    <cellStyle name="Normal 3 3 4 3" xfId="445"/>
    <cellStyle name="Normal 3 3 4 4" xfId="446"/>
    <cellStyle name="Normal 3 3 5" xfId="447"/>
    <cellStyle name="Normal 3 3 6" xfId="448"/>
    <cellStyle name="Normal 3 3 7" xfId="449"/>
    <cellStyle name="Normal 3 4" xfId="450"/>
    <cellStyle name="Normal 3 4 2" xfId="451"/>
    <cellStyle name="Normal 3 4 3" xfId="452"/>
    <cellStyle name="Normal 3 4 4" xfId="453"/>
    <cellStyle name="Normal 3 5" xfId="454"/>
    <cellStyle name="Normal 3 5 2" xfId="455"/>
    <cellStyle name="Normal 3 5 3" xfId="456"/>
    <cellStyle name="Normal 3 5 4" xfId="457"/>
    <cellStyle name="Normal 3 6" xfId="458"/>
    <cellStyle name="Normal 3 6 2" xfId="459"/>
    <cellStyle name="Normal 3 6 3" xfId="460"/>
    <cellStyle name="Normal 3 6 4" xfId="461"/>
    <cellStyle name="Normal 3 7" xfId="462"/>
    <cellStyle name="Normal 3 8" xfId="463"/>
    <cellStyle name="Normal 3 9" xfId="464"/>
    <cellStyle name="Normal 4" xfId="465"/>
    <cellStyle name="Normal 4 2" xfId="466"/>
    <cellStyle name="Normal 4 2 2" xfId="467"/>
    <cellStyle name="Normal 4 3" xfId="468"/>
    <cellStyle name="Normal 4 4" xfId="469"/>
    <cellStyle name="Normal 4 4 2" xfId="470"/>
    <cellStyle name="Normal 4 5" xfId="471"/>
    <cellStyle name="Normal 4 6" xfId="472"/>
    <cellStyle name="Normal 5" xfId="473"/>
    <cellStyle name="Normal 5 2" xfId="474"/>
    <cellStyle name="Normal 5 2 2" xfId="475"/>
    <cellStyle name="Normal 5 2 3" xfId="476"/>
    <cellStyle name="Normal 5 2 4" xfId="477"/>
    <cellStyle name="Normal 5 3" xfId="478"/>
    <cellStyle name="Normal 5 3 2" xfId="479"/>
    <cellStyle name="Normal 5 3 3" xfId="480"/>
    <cellStyle name="Normal 5 3 4" xfId="481"/>
    <cellStyle name="Normal 5 4" xfId="482"/>
    <cellStyle name="Normal 5 4 2" xfId="483"/>
    <cellStyle name="Normal 5 4 3" xfId="484"/>
    <cellStyle name="Normal 5 4 4" xfId="485"/>
    <cellStyle name="Normal 5 5" xfId="486"/>
    <cellStyle name="Normal 5 6" xfId="487"/>
    <cellStyle name="Normal 5 7" xfId="488"/>
    <cellStyle name="Normal 6" xfId="489"/>
    <cellStyle name="Normal 6 2" xfId="490"/>
    <cellStyle name="Normal 6 2 2" xfId="491"/>
    <cellStyle name="Normal 6 2 3" xfId="492"/>
    <cellStyle name="Normal 6 2 4" xfId="493"/>
    <cellStyle name="Normal 6 3" xfId="494"/>
    <cellStyle name="Normal 6 3 2" xfId="495"/>
    <cellStyle name="Normal 6 3 3" xfId="496"/>
    <cellStyle name="Normal 6 3 4" xfId="497"/>
    <cellStyle name="Normal 6 4" xfId="498"/>
    <cellStyle name="Normal 6 4 2" xfId="499"/>
    <cellStyle name="Normal 6 4 3" xfId="500"/>
    <cellStyle name="Normal 6 4 4" xfId="501"/>
    <cellStyle name="Normal 6 5" xfId="502"/>
    <cellStyle name="Normal 6 6" xfId="503"/>
    <cellStyle name="Normal 6 7" xfId="504"/>
    <cellStyle name="Normal 7" xfId="505"/>
    <cellStyle name="Normal 7 2" xfId="506"/>
    <cellStyle name="Normal 7 2 2" xfId="507"/>
    <cellStyle name="Normal 7 2 3" xfId="508"/>
    <cellStyle name="Normal 7 2 4" xfId="509"/>
    <cellStyle name="Normal 7 3" xfId="510"/>
    <cellStyle name="Normal 7 3 2" xfId="511"/>
    <cellStyle name="Normal 7 3 3" xfId="512"/>
    <cellStyle name="Normal 7 3 4" xfId="513"/>
    <cellStyle name="Normal 7 3 5" xfId="514"/>
    <cellStyle name="Normal 7 4" xfId="515"/>
    <cellStyle name="Normal 7 4 2" xfId="516"/>
    <cellStyle name="Normal 7 4 3" xfId="517"/>
    <cellStyle name="Normal 7 4 4" xfId="518"/>
    <cellStyle name="Normal 7 5" xfId="519"/>
    <cellStyle name="Normal 7 5 2" xfId="520"/>
    <cellStyle name="Normal 7 6" xfId="521"/>
    <cellStyle name="Normal 7 6 2" xfId="522"/>
    <cellStyle name="Normal 7 6 3" xfId="523"/>
    <cellStyle name="Normal 7 6 4" xfId="524"/>
    <cellStyle name="Normal 7 7" xfId="525"/>
    <cellStyle name="Normal 7 8" xfId="526"/>
    <cellStyle name="Normal 8" xfId="527"/>
    <cellStyle name="Normal 8 2" xfId="528"/>
    <cellStyle name="Normal 8 2 2" xfId="529"/>
    <cellStyle name="Normal 8 2 3" xfId="530"/>
    <cellStyle name="Normal 8 2 4" xfId="531"/>
    <cellStyle name="Normal 8 3" xfId="532"/>
    <cellStyle name="Normal 8 3 2" xfId="533"/>
    <cellStyle name="Normal 8 3 3" xfId="534"/>
    <cellStyle name="Normal 8 3 4" xfId="535"/>
    <cellStyle name="Normal 8 4" xfId="536"/>
    <cellStyle name="Normal 8 4 2" xfId="537"/>
    <cellStyle name="Normal 8 4 3" xfId="538"/>
    <cellStyle name="Normal 8 4 4" xfId="539"/>
    <cellStyle name="Normal 8 5" xfId="540"/>
    <cellStyle name="Normal 8 6" xfId="541"/>
    <cellStyle name="Normal 8 7" xfId="542"/>
    <cellStyle name="Normal 9" xfId="543"/>
    <cellStyle name="Normal 9 2" xfId="544"/>
    <cellStyle name="Normal 9 2 2" xfId="545"/>
    <cellStyle name="Normal 9 2 3" xfId="546"/>
    <cellStyle name="Normal 9 2 4" xfId="547"/>
    <cellStyle name="Normal 9 3" xfId="548"/>
    <cellStyle name="Normal 9 4" xfId="549"/>
    <cellStyle name="Normal 9 5" xfId="550"/>
    <cellStyle name="Note 2" xfId="551"/>
    <cellStyle name="Note 2 2" xfId="552"/>
    <cellStyle name="Note 2 2 2" xfId="553"/>
    <cellStyle name="Note 2 2 3" xfId="554"/>
    <cellStyle name="Note 2 2 4" xfId="555"/>
    <cellStyle name="Note 2 3" xfId="556"/>
    <cellStyle name="Note 2 4" xfId="557"/>
    <cellStyle name="Note 2 5" xfId="558"/>
    <cellStyle name="Note 3" xfId="559"/>
    <cellStyle name="Note 3 2" xfId="560"/>
    <cellStyle name="Note 3 2 2" xfId="561"/>
    <cellStyle name="Note 3 2 3" xfId="562"/>
    <cellStyle name="Note 3 2 4" xfId="563"/>
    <cellStyle name="Note 3 3" xfId="564"/>
    <cellStyle name="Note 3 4" xfId="565"/>
    <cellStyle name="Note 3 5" xfId="566"/>
    <cellStyle name="Note 4" xfId="567"/>
    <cellStyle name="Note 4 2" xfId="568"/>
    <cellStyle name="Note 4 2 2" xfId="569"/>
    <cellStyle name="Note 4 2 3" xfId="570"/>
    <cellStyle name="Note 4 2 4" xfId="571"/>
    <cellStyle name="Note 4 3" xfId="572"/>
    <cellStyle name="Note 4 4" xfId="573"/>
    <cellStyle name="Note 4 5" xfId="574"/>
    <cellStyle name="강조색1 2" xfId="575"/>
    <cellStyle name="강조색1 2 2" xfId="576"/>
    <cellStyle name="강조색1 2 3" xfId="577"/>
    <cellStyle name="강조색1 2 4" xfId="578"/>
    <cellStyle name="강조색2 2" xfId="579"/>
    <cellStyle name="강조색2 2 2" xfId="580"/>
    <cellStyle name="강조색2 2 3" xfId="581"/>
    <cellStyle name="강조색2 2 4" xfId="582"/>
    <cellStyle name="강조색3 2" xfId="583"/>
    <cellStyle name="강조색3 2 2" xfId="584"/>
    <cellStyle name="강조색3 2 3" xfId="585"/>
    <cellStyle name="강조색3 2 4" xfId="586"/>
    <cellStyle name="강조색4 2" xfId="587"/>
    <cellStyle name="강조색4 2 2" xfId="588"/>
    <cellStyle name="강조색4 2 3" xfId="589"/>
    <cellStyle name="강조색4 2 4" xfId="590"/>
    <cellStyle name="강조색5 2" xfId="591"/>
    <cellStyle name="강조색5 2 2" xfId="592"/>
    <cellStyle name="강조색5 2 3" xfId="593"/>
    <cellStyle name="강조색5 2 4" xfId="594"/>
    <cellStyle name="강조색6 2" xfId="595"/>
    <cellStyle name="강조색6 2 2" xfId="596"/>
    <cellStyle name="강조색6 2 3" xfId="597"/>
    <cellStyle name="강조색6 2 4" xfId="598"/>
    <cellStyle name="경고문 2" xfId="599"/>
    <cellStyle name="경고문 2 2" xfId="600"/>
    <cellStyle name="경고문 2 3" xfId="601"/>
    <cellStyle name="경고문 2 4" xfId="602"/>
    <cellStyle name="계산 2" xfId="603"/>
    <cellStyle name="계산 2 2" xfId="604"/>
    <cellStyle name="계산 2 3" xfId="605"/>
    <cellStyle name="계산 2 4" xfId="606"/>
    <cellStyle name="나쁨 2" xfId="607"/>
    <cellStyle name="나쁨 2 2" xfId="608"/>
    <cellStyle name="나쁨 2 3" xfId="609"/>
    <cellStyle name="나쁨 2 4" xfId="610"/>
    <cellStyle name="백분율 2" xfId="611"/>
    <cellStyle name="백분율 2 2" xfId="612"/>
    <cellStyle name="백분율 2 3" xfId="613"/>
    <cellStyle name="백분율 2 4" xfId="614"/>
    <cellStyle name="보통 2" xfId="615"/>
    <cellStyle name="보통 2 2" xfId="616"/>
    <cellStyle name="보통 2 3" xfId="617"/>
    <cellStyle name="보통 2 4" xfId="618"/>
    <cellStyle name="설명 텍스트 2" xfId="619"/>
    <cellStyle name="설명 텍스트 2 2" xfId="620"/>
    <cellStyle name="설명 텍스트 2 3" xfId="621"/>
    <cellStyle name="설명 텍스트 2 4" xfId="622"/>
    <cellStyle name="셀 확인 2" xfId="623"/>
    <cellStyle name="셀 확인 2 2" xfId="624"/>
    <cellStyle name="셀 확인 2 3" xfId="625"/>
    <cellStyle name="셀 확인 2 4" xfId="626"/>
    <cellStyle name="쉼표 2" xfId="627"/>
    <cellStyle name="쉼표 2 2" xfId="628"/>
    <cellStyle name="쉼표 2 3" xfId="629"/>
    <cellStyle name="쉼표 2 4" xfId="630"/>
    <cellStyle name="쉼표 3" xfId="631"/>
    <cellStyle name="쉼표 3 2" xfId="632"/>
    <cellStyle name="쉼표 3 3" xfId="633"/>
    <cellStyle name="쉼표 3 4" xfId="634"/>
    <cellStyle name="쉼표 4" xfId="635"/>
    <cellStyle name="쉼표 4 2" xfId="636"/>
    <cellStyle name="쉼표 4 3" xfId="637"/>
    <cellStyle name="쉼표 4 4" xfId="638"/>
    <cellStyle name="연결된 셀 2" xfId="639"/>
    <cellStyle name="연결된 셀 2 2" xfId="640"/>
    <cellStyle name="연결된 셀 2 3" xfId="641"/>
    <cellStyle name="연결된 셀 2 4" xfId="642"/>
    <cellStyle name="요약 2" xfId="643"/>
    <cellStyle name="요약 2 2" xfId="644"/>
    <cellStyle name="요약 2 3" xfId="645"/>
    <cellStyle name="요약 2 4" xfId="646"/>
    <cellStyle name="입력 2" xfId="647"/>
    <cellStyle name="입력 2 2" xfId="648"/>
    <cellStyle name="입력 2 3" xfId="649"/>
    <cellStyle name="입력 2 4" xfId="650"/>
    <cellStyle name="제목 1 2" xfId="651"/>
    <cellStyle name="제목 1 2 2" xfId="652"/>
    <cellStyle name="제목 1 2 3" xfId="653"/>
    <cellStyle name="제목 1 2 4" xfId="654"/>
    <cellStyle name="제목 2 2" xfId="655"/>
    <cellStyle name="제목 2 2 2" xfId="656"/>
    <cellStyle name="제목 2 2 3" xfId="657"/>
    <cellStyle name="제목 2 2 4" xfId="658"/>
    <cellStyle name="제목 3 2" xfId="659"/>
    <cellStyle name="제목 3 2 2" xfId="660"/>
    <cellStyle name="제목 3 2 3" xfId="661"/>
    <cellStyle name="제목 3 2 4" xfId="662"/>
    <cellStyle name="제목 4 2" xfId="663"/>
    <cellStyle name="제목 4 2 2" xfId="664"/>
    <cellStyle name="제목 4 2 3" xfId="665"/>
    <cellStyle name="제목 4 2 4" xfId="666"/>
    <cellStyle name="제목 5" xfId="667"/>
    <cellStyle name="제목 5 2" xfId="668"/>
    <cellStyle name="제목 5 3" xfId="669"/>
    <cellStyle name="제목 5 4" xfId="670"/>
    <cellStyle name="좋음 2" xfId="671"/>
    <cellStyle name="좋음 2 2" xfId="672"/>
    <cellStyle name="좋음 2 3" xfId="673"/>
    <cellStyle name="좋음 2 4" xfId="674"/>
    <cellStyle name="출력 2" xfId="675"/>
    <cellStyle name="출력 2 2" xfId="676"/>
    <cellStyle name="출력 2 3" xfId="677"/>
    <cellStyle name="출력 2 4" xfId="678"/>
    <cellStyle name="표준 10" xfId="679"/>
    <cellStyle name="표준 10 2" xfId="680"/>
    <cellStyle name="표준 10 2 2" xfId="681"/>
    <cellStyle name="표준 10 2 2 2" xfId="682"/>
    <cellStyle name="표준 10 2 2 3" xfId="683"/>
    <cellStyle name="표준 10 2 2 4" xfId="684"/>
    <cellStyle name="표준 10 2 3" xfId="685"/>
    <cellStyle name="표준 10 2 3 2" xfId="686"/>
    <cellStyle name="표준 10 2 3 3" xfId="687"/>
    <cellStyle name="표준 10 2 3 4" xfId="688"/>
    <cellStyle name="표준 10 2 4" xfId="689"/>
    <cellStyle name="표준 10 2 5" xfId="690"/>
    <cellStyle name="표준 10 2 6" xfId="691"/>
    <cellStyle name="표준 10 3" xfId="692"/>
    <cellStyle name="표준 10 3 2" xfId="693"/>
    <cellStyle name="표준 10 3 3" xfId="694"/>
    <cellStyle name="표준 10 3 4" xfId="695"/>
    <cellStyle name="표준 10 4" xfId="696"/>
    <cellStyle name="표준 10 5" xfId="697"/>
    <cellStyle name="표준 10 6" xfId="698"/>
    <cellStyle name="표준 11" xfId="699"/>
    <cellStyle name="표준 11 2" xfId="700"/>
    <cellStyle name="표준 11 3" xfId="701"/>
    <cellStyle name="표준 11 4" xfId="702"/>
    <cellStyle name="표준 11 5" xfId="703"/>
    <cellStyle name="표준 11 6" xfId="704"/>
    <cellStyle name="표준 11 6 2" xfId="705"/>
    <cellStyle name="표준 11 6 3" xfId="706"/>
    <cellStyle name="표준 11 6 4" xfId="707"/>
    <cellStyle name="표준 11 7" xfId="708"/>
    <cellStyle name="표준 11 8" xfId="709"/>
    <cellStyle name="표준 12" xfId="710"/>
    <cellStyle name="표준 12 2" xfId="711"/>
    <cellStyle name="표준 12 3" xfId="712"/>
    <cellStyle name="표준 12 4" xfId="713"/>
    <cellStyle name="표준 12 5" xfId="714"/>
    <cellStyle name="표준 12 6" xfId="715"/>
    <cellStyle name="표준 13" xfId="716"/>
    <cellStyle name="표준 13 2" xfId="717"/>
    <cellStyle name="표준 13 2 2" xfId="718"/>
    <cellStyle name="표준 13 2 3" xfId="719"/>
    <cellStyle name="표준 13 2 4" xfId="720"/>
    <cellStyle name="표준 13 3" xfId="721"/>
    <cellStyle name="표준 13 3 2" xfId="722"/>
    <cellStyle name="표준 13 3 3" xfId="723"/>
    <cellStyle name="표준 13 3 4" xfId="724"/>
    <cellStyle name="표준 13 4" xfId="725"/>
    <cellStyle name="표준 13 5" xfId="726"/>
    <cellStyle name="표준 13 6" xfId="727"/>
    <cellStyle name="표준 14" xfId="728"/>
    <cellStyle name="표준 14 2" xfId="729"/>
    <cellStyle name="표준 14 3" xfId="730"/>
    <cellStyle name="표준 14 4" xfId="731"/>
    <cellStyle name="표준 15" xfId="732"/>
    <cellStyle name="표준 15 2" xfId="733"/>
    <cellStyle name="표준 15 3" xfId="734"/>
    <cellStyle name="표준 15 4" xfId="735"/>
    <cellStyle name="표준 16" xfId="736"/>
    <cellStyle name="표준 16 2" xfId="737"/>
    <cellStyle name="표준 16 3" xfId="738"/>
    <cellStyle name="표준 16 4" xfId="739"/>
    <cellStyle name="표준 17" xfId="740"/>
    <cellStyle name="표준 17 2" xfId="741"/>
    <cellStyle name="표준 17 2 2" xfId="742"/>
    <cellStyle name="표준 17 3" xfId="743"/>
    <cellStyle name="표준 17 4" xfId="744"/>
    <cellStyle name="표준 172" xfId="745"/>
    <cellStyle name="표준 18" xfId="746"/>
    <cellStyle name="표준 18 10" xfId="747"/>
    <cellStyle name="표준 18 2" xfId="748"/>
    <cellStyle name="표준 18 2 2" xfId="749"/>
    <cellStyle name="표준 18 2 3" xfId="750"/>
    <cellStyle name="표준 18 2 4" xfId="751"/>
    <cellStyle name="표준 18 3" xfId="752"/>
    <cellStyle name="표준 18 3 2" xfId="753"/>
    <cellStyle name="표준 18 3 2 2" xfId="754"/>
    <cellStyle name="표준 18 3 2 2 2" xfId="755"/>
    <cellStyle name="표준 18 3 2 3" xfId="756"/>
    <cellStyle name="표준 18 3 2 4" xfId="757"/>
    <cellStyle name="표준 18 3 3" xfId="758"/>
    <cellStyle name="표준 18 3 3 2" xfId="759"/>
    <cellStyle name="표준 18 3 3 3" xfId="760"/>
    <cellStyle name="표준 18 3 3 4" xfId="761"/>
    <cellStyle name="표준 18 3 4" xfId="762"/>
    <cellStyle name="표준 18 3 4 2" xfId="763"/>
    <cellStyle name="표준 18 3 4 3" xfId="764"/>
    <cellStyle name="표준 18 3 4 4" xfId="765"/>
    <cellStyle name="표준 18 3 5" xfId="766"/>
    <cellStyle name="표준 18 3 5 2" xfId="767"/>
    <cellStyle name="표준 18 3 5 3" xfId="768"/>
    <cellStyle name="표준 18 3 5 4" xfId="769"/>
    <cellStyle name="표준 18 3 6" xfId="770"/>
    <cellStyle name="표준 18 3 6 2" xfId="771"/>
    <cellStyle name="표준 18 3 6 3" xfId="772"/>
    <cellStyle name="표준 18 3 6 4" xfId="773"/>
    <cellStyle name="표준 18 3 7" xfId="774"/>
    <cellStyle name="표준 18 3 8" xfId="775"/>
    <cellStyle name="표준 18 3 9" xfId="776"/>
    <cellStyle name="표준 18 4" xfId="777"/>
    <cellStyle name="표준 18 4 2" xfId="778"/>
    <cellStyle name="표준 18 4 3" xfId="779"/>
    <cellStyle name="표준 18 4 4" xfId="780"/>
    <cellStyle name="표준 18 5" xfId="781"/>
    <cellStyle name="표준 18 5 2" xfId="782"/>
    <cellStyle name="표준 18 5 3" xfId="783"/>
    <cellStyle name="표준 18 5 4" xfId="784"/>
    <cellStyle name="표준 18 6" xfId="785"/>
    <cellStyle name="표준 18 6 2" xfId="786"/>
    <cellStyle name="표준 18 6 3" xfId="787"/>
    <cellStyle name="표준 18 6 4" xfId="788"/>
    <cellStyle name="표준 18 7" xfId="789"/>
    <cellStyle name="표준 18 7 2" xfId="790"/>
    <cellStyle name="표준 18 7 3" xfId="791"/>
    <cellStyle name="표준 18 7 4" xfId="792"/>
    <cellStyle name="표준 18 8" xfId="793"/>
    <cellStyle name="표준 18 9" xfId="794"/>
    <cellStyle name="표준 19" xfId="795"/>
    <cellStyle name="표준 19 2" xfId="796"/>
    <cellStyle name="표준 19 2 2" xfId="797"/>
    <cellStyle name="표준 19 2 2 2" xfId="798"/>
    <cellStyle name="표준 19 2 2 3" xfId="799"/>
    <cellStyle name="표준 19 2 2 4" xfId="800"/>
    <cellStyle name="표준 19 2 3" xfId="801"/>
    <cellStyle name="표준 19 2 3 2" xfId="802"/>
    <cellStyle name="표준 19 2 3 3" xfId="803"/>
    <cellStyle name="표준 19 2 3 4" xfId="804"/>
    <cellStyle name="표준 19 2 4" xfId="805"/>
    <cellStyle name="표준 19 2 4 2" xfId="806"/>
    <cellStyle name="표준 19 2 4 3" xfId="807"/>
    <cellStyle name="표준 19 2 5" xfId="808"/>
    <cellStyle name="표준 19 2 6" xfId="809"/>
    <cellStyle name="표준 19 3" xfId="810"/>
    <cellStyle name="표준 19 3 2" xfId="811"/>
    <cellStyle name="표준 19 3 3" xfId="812"/>
    <cellStyle name="표준 19 3 4" xfId="813"/>
    <cellStyle name="표준 19 4" xfId="814"/>
    <cellStyle name="표준 19 4 2" xfId="815"/>
    <cellStyle name="표준 19 4 2 2" xfId="816"/>
    <cellStyle name="표준 19 4 3" xfId="817"/>
    <cellStyle name="표준 19 4 4" xfId="818"/>
    <cellStyle name="표준 19 5" xfId="819"/>
    <cellStyle name="표준 19 6" xfId="820"/>
    <cellStyle name="표준 19 7" xfId="821"/>
    <cellStyle name="표준 2" xfId="822"/>
    <cellStyle name="표준 2 10" xfId="823"/>
    <cellStyle name="표준 2 2" xfId="824"/>
    <cellStyle name="표준 2 2 2" xfId="825"/>
    <cellStyle name="표준 2 2 2 2" xfId="826"/>
    <cellStyle name="표준 2 2 2 3" xfId="827"/>
    <cellStyle name="표준 2 2 2 4" xfId="828"/>
    <cellStyle name="표준 2 2 3" xfId="829"/>
    <cellStyle name="표준 2 2 3 2" xfId="830"/>
    <cellStyle name="표준 2 2 3 3" xfId="831"/>
    <cellStyle name="표준 2 2 3 4" xfId="832"/>
    <cellStyle name="표준 2 2 4" xfId="833"/>
    <cellStyle name="표준 2 2 5" xfId="834"/>
    <cellStyle name="표준 2 2 6" xfId="835"/>
    <cellStyle name="표준 2 3" xfId="836"/>
    <cellStyle name="표준 2 3 2" xfId="837"/>
    <cellStyle name="표준 2 3 2 2" xfId="838"/>
    <cellStyle name="표준 2 3 2 2 2" xfId="839"/>
    <cellStyle name="표준 2 3 2 2 3" xfId="840"/>
    <cellStyle name="표준 2 3 2 2 4" xfId="841"/>
    <cellStyle name="표준 2 3 2 3" xfId="842"/>
    <cellStyle name="표준 2 3 2 3 2" xfId="843"/>
    <cellStyle name="표준 2 3 2 3 3" xfId="844"/>
    <cellStyle name="표준 2 3 2 3 4" xfId="845"/>
    <cellStyle name="표준 2 3 2 4" xfId="846"/>
    <cellStyle name="표준 2 3 2 5" xfId="847"/>
    <cellStyle name="표준 2 3 2 6" xfId="848"/>
    <cellStyle name="표준 2 3 3" xfId="849"/>
    <cellStyle name="표준 2 3 3 2" xfId="850"/>
    <cellStyle name="표준 2 3 3 3" xfId="851"/>
    <cellStyle name="표준 2 3 3 4" xfId="852"/>
    <cellStyle name="표준 2 3 4" xfId="853"/>
    <cellStyle name="표준 2 3 5" xfId="854"/>
    <cellStyle name="표준 2 3 6" xfId="855"/>
    <cellStyle name="표준 2 4" xfId="856"/>
    <cellStyle name="표준 2 4 2" xfId="857"/>
    <cellStyle name="표준 2 4 2 2" xfId="858"/>
    <cellStyle name="표준 2 4 2 3" xfId="859"/>
    <cellStyle name="표준 2 4 2 4" xfId="860"/>
    <cellStyle name="표준 2 4 3" xfId="861"/>
    <cellStyle name="표준 2 4 4" xfId="862"/>
    <cellStyle name="표준 2 4 4 2" xfId="863"/>
    <cellStyle name="표준 2 4 4 3" xfId="864"/>
    <cellStyle name="표준 2 4 4 4" xfId="865"/>
    <cellStyle name="표준 2 4 5" xfId="866"/>
    <cellStyle name="표준 2 4 6" xfId="867"/>
    <cellStyle name="표준 2 4 7" xfId="868"/>
    <cellStyle name="표준 2 5" xfId="869"/>
    <cellStyle name="표준 2 5 2" xfId="870"/>
    <cellStyle name="표준 2 5 3" xfId="871"/>
    <cellStyle name="표준 2 5 4" xfId="872"/>
    <cellStyle name="표준 2 6" xfId="873"/>
    <cellStyle name="표준 2 6 2" xfId="874"/>
    <cellStyle name="표준 2 6 3" xfId="875"/>
    <cellStyle name="표준 2 6 4" xfId="876"/>
    <cellStyle name="표준 2 7" xfId="877"/>
    <cellStyle name="표준 2 7 2" xfId="878"/>
    <cellStyle name="표준 2 7 3" xfId="879"/>
    <cellStyle name="표준 2 7 4" xfId="880"/>
    <cellStyle name="표준 2 8" xfId="881"/>
    <cellStyle name="표준 2 8 2" xfId="882"/>
    <cellStyle name="표준 2 9" xfId="883"/>
    <cellStyle name="표준 20" xfId="884"/>
    <cellStyle name="표준 20 10" xfId="885"/>
    <cellStyle name="표준 20 11" xfId="886"/>
    <cellStyle name="표준 20 12" xfId="887"/>
    <cellStyle name="표준 20 2" xfId="888"/>
    <cellStyle name="표준 20 2 2" xfId="889"/>
    <cellStyle name="표준 20 2 2 2" xfId="890"/>
    <cellStyle name="표준 20 2 2 3" xfId="891"/>
    <cellStyle name="표준 20 2 2 4" xfId="892"/>
    <cellStyle name="표준 20 2 3" xfId="893"/>
    <cellStyle name="표준 20 2 3 2" xfId="894"/>
    <cellStyle name="표준 20 2 3 3" xfId="895"/>
    <cellStyle name="표준 20 2 3 4" xfId="896"/>
    <cellStyle name="표준 20 2 4" xfId="897"/>
    <cellStyle name="표준 20 2 4 2" xfId="898"/>
    <cellStyle name="표준 20 2 4 3" xfId="899"/>
    <cellStyle name="표준 20 2 5" xfId="900"/>
    <cellStyle name="표준 20 2 6" xfId="901"/>
    <cellStyle name="표준 20 3" xfId="902"/>
    <cellStyle name="표준 20 3 2" xfId="903"/>
    <cellStyle name="표준 20 3 3" xfId="904"/>
    <cellStyle name="표준 20 3 4" xfId="905"/>
    <cellStyle name="표준 20 4" xfId="906"/>
    <cellStyle name="표준 20 4 2" xfId="907"/>
    <cellStyle name="표준 20 4 3" xfId="908"/>
    <cellStyle name="표준 20 4 4" xfId="909"/>
    <cellStyle name="표준 20 5" xfId="910"/>
    <cellStyle name="표준 20 5 2" xfId="911"/>
    <cellStyle name="표준 20 5 3" xfId="912"/>
    <cellStyle name="표준 20 5 4" xfId="913"/>
    <cellStyle name="표준 20 6" xfId="914"/>
    <cellStyle name="표준 20 6 2" xfId="915"/>
    <cellStyle name="표준 20 6 2 2" xfId="916"/>
    <cellStyle name="표준 20 6 3" xfId="917"/>
    <cellStyle name="표준 20 6 4" xfId="918"/>
    <cellStyle name="표준 20 7" xfId="919"/>
    <cellStyle name="표준 20 7 2" xfId="920"/>
    <cellStyle name="표준 20 7 3" xfId="921"/>
    <cellStyle name="표준 20 7 4" xfId="922"/>
    <cellStyle name="표준 20 8" xfId="923"/>
    <cellStyle name="표준 20 8 2" xfId="924"/>
    <cellStyle name="표준 20 8 3" xfId="925"/>
    <cellStyle name="표준 20 8 4" xfId="926"/>
    <cellStyle name="표준 20 9" xfId="927"/>
    <cellStyle name="표준 20 9 2" xfId="928"/>
    <cellStyle name="표준 20 9 3" xfId="929"/>
    <cellStyle name="표준 20 9 4" xfId="930"/>
    <cellStyle name="표준 21" xfId="931"/>
    <cellStyle name="표준 21 2" xfId="932"/>
    <cellStyle name="표준 21 2 2" xfId="933"/>
    <cellStyle name="표준 21 2 2 2" xfId="934"/>
    <cellStyle name="표준 21 2 2 3" xfId="935"/>
    <cellStyle name="표준 21 2 2 3 2" xfId="936"/>
    <cellStyle name="표준 21 2 2 4" xfId="937"/>
    <cellStyle name="표준 21 2 2 5" xfId="938"/>
    <cellStyle name="표준 21 2 3" xfId="939"/>
    <cellStyle name="표준 21 2 3 2" xfId="940"/>
    <cellStyle name="표준 21 2 4" xfId="941"/>
    <cellStyle name="표준 21 2 5" xfId="942"/>
    <cellStyle name="표준 21 3" xfId="943"/>
    <cellStyle name="표준 21 3 2" xfId="944"/>
    <cellStyle name="표준 21 3 3" xfId="945"/>
    <cellStyle name="표준 21 3 4" xfId="946"/>
    <cellStyle name="표준 21 4" xfId="947"/>
    <cellStyle name="표준 21 4 2" xfId="948"/>
    <cellStyle name="표준 21 4 3" xfId="949"/>
    <cellStyle name="표준 21 4 4" xfId="950"/>
    <cellStyle name="표준 21 5" xfId="951"/>
    <cellStyle name="표준 21 6" xfId="952"/>
    <cellStyle name="표준 21 7" xfId="953"/>
    <cellStyle name="표준 22" xfId="954"/>
    <cellStyle name="표준 22 2" xfId="955"/>
    <cellStyle name="표준 22 3" xfId="956"/>
    <cellStyle name="표준 22 4" xfId="957"/>
    <cellStyle name="표준 23" xfId="958"/>
    <cellStyle name="표준 23 2" xfId="959"/>
    <cellStyle name="표준 23 2 2" xfId="960"/>
    <cellStyle name="표준 23 2 2 2" xfId="961"/>
    <cellStyle name="표준 23 2 3" xfId="962"/>
    <cellStyle name="표준 23 2 4" xfId="963"/>
    <cellStyle name="표준 23 3" xfId="964"/>
    <cellStyle name="표준 23 3 2" xfId="965"/>
    <cellStyle name="표준 23 4" xfId="966"/>
    <cellStyle name="표준 23 5" xfId="967"/>
    <cellStyle name="표준 24" xfId="968"/>
    <cellStyle name="표준 24 10" xfId="969"/>
    <cellStyle name="표준 24 2" xfId="970"/>
    <cellStyle name="표준 24 2 2" xfId="971"/>
    <cellStyle name="표준 24 2 2 2" xfId="972"/>
    <cellStyle name="표준 24 2 2 3" xfId="973"/>
    <cellStyle name="표준 24 2 2 4" xfId="974"/>
    <cellStyle name="표준 24 2 3" xfId="975"/>
    <cellStyle name="표준 24 2 3 2" xfId="976"/>
    <cellStyle name="표준 24 2 3 3" xfId="977"/>
    <cellStyle name="표준 24 2 3 4" xfId="978"/>
    <cellStyle name="표준 24 2 4" xfId="979"/>
    <cellStyle name="표준 24 2 4 2" xfId="980"/>
    <cellStyle name="표준 24 2 4 3" xfId="981"/>
    <cellStyle name="표준 24 2 4 4" xfId="982"/>
    <cellStyle name="표준 24 2 5" xfId="983"/>
    <cellStyle name="표준 24 2 5 2" xfId="984"/>
    <cellStyle name="표준 24 2 5 3" xfId="985"/>
    <cellStyle name="표준 24 2 5 4" xfId="986"/>
    <cellStyle name="표준 24 2 6" xfId="987"/>
    <cellStyle name="표준 24 2 6 2" xfId="988"/>
    <cellStyle name="표준 24 2 6 3" xfId="989"/>
    <cellStyle name="표준 24 2 6 4" xfId="990"/>
    <cellStyle name="표준 24 2 7" xfId="991"/>
    <cellStyle name="표준 24 2 8" xfId="992"/>
    <cellStyle name="표준 24 2 9" xfId="993"/>
    <cellStyle name="표준 24 3" xfId="994"/>
    <cellStyle name="표준 24 3 2" xfId="995"/>
    <cellStyle name="표준 24 3 2 2" xfId="996"/>
    <cellStyle name="표준 24 3 3" xfId="997"/>
    <cellStyle name="표준 24 3 4" xfId="998"/>
    <cellStyle name="표준 24 4" xfId="999"/>
    <cellStyle name="표준 24 4 2" xfId="1000"/>
    <cellStyle name="표준 24 4 3" xfId="1001"/>
    <cellStyle name="표준 24 4 4" xfId="1002"/>
    <cellStyle name="표준 24 5" xfId="1003"/>
    <cellStyle name="표준 24 5 2" xfId="1004"/>
    <cellStyle name="표준 24 5 3" xfId="1005"/>
    <cellStyle name="표준 24 5 4" xfId="1006"/>
    <cellStyle name="표준 24 6" xfId="1007"/>
    <cellStyle name="표준 24 6 2" xfId="1008"/>
    <cellStyle name="표준 24 6 3" xfId="1009"/>
    <cellStyle name="표준 24 6 4" xfId="1010"/>
    <cellStyle name="표준 24 7" xfId="1011"/>
    <cellStyle name="표준 24 7 2" xfId="1012"/>
    <cellStyle name="표준 24 7 3" xfId="1013"/>
    <cellStyle name="표준 24 7 4" xfId="1014"/>
    <cellStyle name="표준 24 8" xfId="1015"/>
    <cellStyle name="표준 24 8 2" xfId="1016"/>
    <cellStyle name="표준 24 8 3" xfId="1017"/>
    <cellStyle name="표준 24 8 4" xfId="1018"/>
    <cellStyle name="표준 24 9" xfId="1019"/>
    <cellStyle name="표준 24 9 2" xfId="1020"/>
    <cellStyle name="표준 25" xfId="1021"/>
    <cellStyle name="표준 25 2" xfId="1022"/>
    <cellStyle name="표준 25 2 2" xfId="1023"/>
    <cellStyle name="표준 25 2 3" xfId="1024"/>
    <cellStyle name="표준 25 2 4" xfId="1025"/>
    <cellStyle name="표준 25 3" xfId="1026"/>
    <cellStyle name="표준 25 3 2" xfId="1027"/>
    <cellStyle name="표준 25 4" xfId="1028"/>
    <cellStyle name="표준 25 5" xfId="1029"/>
    <cellStyle name="표준 26" xfId="1030"/>
    <cellStyle name="표준 26 10" xfId="1031"/>
    <cellStyle name="표준 26 11" xfId="1032"/>
    <cellStyle name="표준 26 2" xfId="1033"/>
    <cellStyle name="표준 26 2 2" xfId="1034"/>
    <cellStyle name="표준 26 2 2 2" xfId="1035"/>
    <cellStyle name="표준 26 2 2 3" xfId="1036"/>
    <cellStyle name="표준 26 2 2 4" xfId="1037"/>
    <cellStyle name="표준 26 2 3" xfId="1038"/>
    <cellStyle name="표준 26 2 3 2" xfId="1039"/>
    <cellStyle name="표준 26 2 3 3" xfId="1040"/>
    <cellStyle name="표준 26 2 3 4" xfId="1041"/>
    <cellStyle name="표준 26 2 4" xfId="1042"/>
    <cellStyle name="표준 26 2 4 2" xfId="1043"/>
    <cellStyle name="표준 26 2 4 3" xfId="1044"/>
    <cellStyle name="표준 26 2 4 4" xfId="1045"/>
    <cellStyle name="표준 26 2 5" xfId="1046"/>
    <cellStyle name="표준 26 2 6" xfId="1047"/>
    <cellStyle name="표준 26 2 7" xfId="1048"/>
    <cellStyle name="표준 26 3" xfId="1049"/>
    <cellStyle name="표준 26 3 2" xfId="1050"/>
    <cellStyle name="표준 26 3 3" xfId="1051"/>
    <cellStyle name="표준 26 3 4" xfId="1052"/>
    <cellStyle name="표준 26 4" xfId="1053"/>
    <cellStyle name="표준 26 4 2" xfId="1054"/>
    <cellStyle name="표준 26 4 2 2" xfId="1055"/>
    <cellStyle name="표준 26 4 2 3" xfId="1056"/>
    <cellStyle name="표준 26 4 2 4" xfId="1057"/>
    <cellStyle name="표준 26 4 3" xfId="1058"/>
    <cellStyle name="표준 26 4 4" xfId="1059"/>
    <cellStyle name="표준 26 4 5" xfId="1060"/>
    <cellStyle name="표준 26 5" xfId="1061"/>
    <cellStyle name="표준 26 5 2" xfId="1062"/>
    <cellStyle name="표준 26 5 3" xfId="1063"/>
    <cellStyle name="표준 26 5 4" xfId="1064"/>
    <cellStyle name="표준 26 6" xfId="1065"/>
    <cellStyle name="표준 26 6 2" xfId="1066"/>
    <cellStyle name="표준 26 6 3" xfId="1067"/>
    <cellStyle name="표준 26 6 4" xfId="1068"/>
    <cellStyle name="표준 26 7" xfId="1069"/>
    <cellStyle name="표준 26 7 2" xfId="1070"/>
    <cellStyle name="표준 26 7 2 2" xfId="1071"/>
    <cellStyle name="표준 26 7 3" xfId="1072"/>
    <cellStyle name="표준 26 7 4" xfId="1073"/>
    <cellStyle name="표준 26 8" xfId="1074"/>
    <cellStyle name="표준 26 8 2" xfId="1075"/>
    <cellStyle name="표준 26 8 3" xfId="1076"/>
    <cellStyle name="표준 26 8 4" xfId="1077"/>
    <cellStyle name="표준 26 9" xfId="1078"/>
    <cellStyle name="표준 27" xfId="1079"/>
    <cellStyle name="표준 27 10" xfId="1080"/>
    <cellStyle name="표준 27 2" xfId="1081"/>
    <cellStyle name="표준 27 2 2" xfId="1082"/>
    <cellStyle name="표준 27 2 3" xfId="1083"/>
    <cellStyle name="표준 27 2 4" xfId="1084"/>
    <cellStyle name="표준 27 3" xfId="1085"/>
    <cellStyle name="표준 27 3 2" xfId="1086"/>
    <cellStyle name="표준 27 3 3" xfId="1087"/>
    <cellStyle name="표준 27 3 4" xfId="1088"/>
    <cellStyle name="표준 27 4" xfId="1089"/>
    <cellStyle name="표준 27 4 2" xfId="1090"/>
    <cellStyle name="표준 27 4 3" xfId="1091"/>
    <cellStyle name="표준 27 4 4" xfId="1092"/>
    <cellStyle name="표준 27 5" xfId="1093"/>
    <cellStyle name="표준 27 5 2" xfId="1094"/>
    <cellStyle name="표준 27 5 3" xfId="1095"/>
    <cellStyle name="표준 27 5 4" xfId="1096"/>
    <cellStyle name="표준 27 6" xfId="1097"/>
    <cellStyle name="표준 27 6 2" xfId="1098"/>
    <cellStyle name="표준 27 6 3" xfId="1099"/>
    <cellStyle name="표준 27 6 4" xfId="1100"/>
    <cellStyle name="표준 27 7" xfId="1101"/>
    <cellStyle name="표준 27 7 2" xfId="1102"/>
    <cellStyle name="표준 27 7 3" xfId="1103"/>
    <cellStyle name="표준 27 7 4" xfId="1104"/>
    <cellStyle name="표준 27 8" xfId="1105"/>
    <cellStyle name="표준 27 9" xfId="1106"/>
    <cellStyle name="표준 28" xfId="1107"/>
    <cellStyle name="표준 28 2" xfId="1108"/>
    <cellStyle name="표준 28 2 2" xfId="1109"/>
    <cellStyle name="표준 28 2 3" xfId="1110"/>
    <cellStyle name="표준 28 2 4" xfId="1111"/>
    <cellStyle name="표준 28 3" xfId="1112"/>
    <cellStyle name="표준 28 3 2" xfId="1113"/>
    <cellStyle name="표준 28 3 3" xfId="1114"/>
    <cellStyle name="표준 28 3 4" xfId="1115"/>
    <cellStyle name="표준 28 4" xfId="1116"/>
    <cellStyle name="표준 28 4 2" xfId="1117"/>
    <cellStyle name="표준 28 4 2 2" xfId="1118"/>
    <cellStyle name="표준 28 4 2 3" xfId="1119"/>
    <cellStyle name="표준 28 4 2 4" xfId="1120"/>
    <cellStyle name="표준 28 4 3" xfId="1121"/>
    <cellStyle name="표준 28 4 3 2" xfId="1122"/>
    <cellStyle name="표준 28 4 3 3" xfId="1123"/>
    <cellStyle name="표준 28 4 3 4" xfId="1124"/>
    <cellStyle name="표준 28 4 4" xfId="1125"/>
    <cellStyle name="표준 28 4 4 2" xfId="1126"/>
    <cellStyle name="표준 28 4 4 3" xfId="1127"/>
    <cellStyle name="표준 28 4 4 4" xfId="1128"/>
    <cellStyle name="표준 28 4 5" xfId="1129"/>
    <cellStyle name="표준 28 4 6" xfId="1130"/>
    <cellStyle name="표준 28 4 7" xfId="1131"/>
    <cellStyle name="표준 28 5" xfId="1132"/>
    <cellStyle name="표준 28 5 2" xfId="1133"/>
    <cellStyle name="표준 28 5 3" xfId="1134"/>
    <cellStyle name="표준 28 5 4" xfId="1135"/>
    <cellStyle name="표준 28 6" xfId="1136"/>
    <cellStyle name="표준 28 7" xfId="1137"/>
    <cellStyle name="표준 28 8" xfId="1138"/>
    <cellStyle name="표준 29" xfId="1139"/>
    <cellStyle name="표준 29 2" xfId="1140"/>
    <cellStyle name="표준 29 2 2" xfId="1141"/>
    <cellStyle name="표준 29 2 3" xfId="1142"/>
    <cellStyle name="표준 29 2 4" xfId="1143"/>
    <cellStyle name="표준 29 3" xfId="1144"/>
    <cellStyle name="표준 29 3 2" xfId="1145"/>
    <cellStyle name="표준 29 3 3" xfId="1146"/>
    <cellStyle name="표준 29 3 4" xfId="1147"/>
    <cellStyle name="표준 29 4" xfId="1148"/>
    <cellStyle name="표준 29 4 2" xfId="1149"/>
    <cellStyle name="표준 29 4 2 2" xfId="1150"/>
    <cellStyle name="표준 29 4 2 3" xfId="1151"/>
    <cellStyle name="표준 29 4 2 4" xfId="1152"/>
    <cellStyle name="표준 29 4 3" xfId="1153"/>
    <cellStyle name="표준 29 4 3 2" xfId="1154"/>
    <cellStyle name="표준 29 4 3 3" xfId="1155"/>
    <cellStyle name="표준 29 4 3 4" xfId="1156"/>
    <cellStyle name="표준 29 4 4" xfId="1157"/>
    <cellStyle name="표준 29 4 4 2" xfId="1158"/>
    <cellStyle name="표준 29 4 4 3" xfId="1159"/>
    <cellStyle name="표준 29 4 4 4" xfId="1160"/>
    <cellStyle name="표준 29 4 5" xfId="1161"/>
    <cellStyle name="표준 29 4 6" xfId="1162"/>
    <cellStyle name="표준 29 4 7" xfId="1163"/>
    <cellStyle name="표준 29 5" xfId="1164"/>
    <cellStyle name="표준 29 6" xfId="1165"/>
    <cellStyle name="표준 29 7" xfId="1166"/>
    <cellStyle name="표준 3" xfId="1167"/>
    <cellStyle name="표준 3 10" xfId="1168"/>
    <cellStyle name="표준 3 11" xfId="1169"/>
    <cellStyle name="표준 3 12" xfId="1170"/>
    <cellStyle name="표준 3 2" xfId="1171"/>
    <cellStyle name="표준 3 2 2" xfId="1172"/>
    <cellStyle name="표준 3 2 2 2" xfId="1173"/>
    <cellStyle name="표준 3 2 2 2 2" xfId="1174"/>
    <cellStyle name="표준 3 2 2 2 3" xfId="1175"/>
    <cellStyle name="표준 3 2 2 2 4" xfId="1176"/>
    <cellStyle name="표준 3 2 2 3" xfId="1177"/>
    <cellStyle name="표준 3 2 2 3 2" xfId="1178"/>
    <cellStyle name="표준 3 2 2 3 3" xfId="1179"/>
    <cellStyle name="표준 3 2 2 3 4" xfId="1180"/>
    <cellStyle name="표준 3 2 2 4" xfId="1181"/>
    <cellStyle name="표준 3 2 2 4 2" xfId="1182"/>
    <cellStyle name="표준 3 2 2 4 3" xfId="1183"/>
    <cellStyle name="표준 3 2 2 4 4" xfId="1184"/>
    <cellStyle name="표준 3 2 2 5" xfId="1185"/>
    <cellStyle name="표준 3 2 2 6" xfId="1186"/>
    <cellStyle name="표준 3 2 2 7" xfId="1187"/>
    <cellStyle name="표준 3 2 3" xfId="1188"/>
    <cellStyle name="표준 3 2 3 2" xfId="1189"/>
    <cellStyle name="표준 3 2 3 3" xfId="1190"/>
    <cellStyle name="표준 3 2 3 4" xfId="1191"/>
    <cellStyle name="표준 3 2 4" xfId="1192"/>
    <cellStyle name="표준 3 2 4 2" xfId="1193"/>
    <cellStyle name="표준 3 2 4 2 2" xfId="1194"/>
    <cellStyle name="표준 3 2 4 2 3" xfId="1195"/>
    <cellStyle name="표준 3 2 4 2 4" xfId="1196"/>
    <cellStyle name="표준 3 2 4 3" xfId="1197"/>
    <cellStyle name="표준 3 2 4 3 2" xfId="1198"/>
    <cellStyle name="표준 3 2 4 3 3" xfId="1199"/>
    <cellStyle name="표준 3 2 4 3 4" xfId="1200"/>
    <cellStyle name="표준 3 2 4 4" xfId="1201"/>
    <cellStyle name="표준 3 2 4 5" xfId="1202"/>
    <cellStyle name="표준 3 2 4 6" xfId="1203"/>
    <cellStyle name="표준 3 2 5" xfId="1204"/>
    <cellStyle name="표준 3 2 5 2" xfId="1205"/>
    <cellStyle name="표준 3 2 5 2 2" xfId="1206"/>
    <cellStyle name="표준 3 2 5 3" xfId="1207"/>
    <cellStyle name="표준 3 2 5 4" xfId="1208"/>
    <cellStyle name="표준 3 2 5 5" xfId="1209"/>
    <cellStyle name="표준 3 2 6" xfId="1210"/>
    <cellStyle name="표준 3 2 7" xfId="1211"/>
    <cellStyle name="표준 3 2 8" xfId="1212"/>
    <cellStyle name="표준 3 3" xfId="1213"/>
    <cellStyle name="표준 3 3 2" xfId="1214"/>
    <cellStyle name="표준 3 3 2 2" xfId="1215"/>
    <cellStyle name="표준 3 3 2 2 2" xfId="1216"/>
    <cellStyle name="표준 3 3 2 2 3" xfId="1217"/>
    <cellStyle name="표준 3 3 2 2 4" xfId="1218"/>
    <cellStyle name="표준 3 3 2 3" xfId="1219"/>
    <cellStyle name="표준 3 3 2 3 2" xfId="1220"/>
    <cellStyle name="표준 3 3 2 3 3" xfId="1221"/>
    <cellStyle name="표준 3 3 2 3 4" xfId="1222"/>
    <cellStyle name="표준 3 3 2 4" xfId="1223"/>
    <cellStyle name="표준 3 3 2 4 2" xfId="1224"/>
    <cellStyle name="표준 3 3 2 4 3" xfId="1225"/>
    <cellStyle name="표준 3 3 2 4 4" xfId="1226"/>
    <cellStyle name="표준 3 3 2 5" xfId="1227"/>
    <cellStyle name="표준 3 3 2 6" xfId="1228"/>
    <cellStyle name="표준 3 3 2 7" xfId="1229"/>
    <cellStyle name="표준 3 3 3" xfId="1230"/>
    <cellStyle name="표준 3 3 3 2" xfId="1231"/>
    <cellStyle name="표준 3 3 3 2 2" xfId="1232"/>
    <cellStyle name="표준 3 3 3 2 3" xfId="1233"/>
    <cellStyle name="표준 3 3 3 2 4" xfId="1234"/>
    <cellStyle name="표준 3 3 3 3" xfId="1235"/>
    <cellStyle name="표준 3 3 3 3 2" xfId="1236"/>
    <cellStyle name="표준 3 3 3 3 3" xfId="1237"/>
    <cellStyle name="표준 3 3 3 3 4" xfId="1238"/>
    <cellStyle name="표준 3 3 3 4" xfId="1239"/>
    <cellStyle name="표준 3 3 3 5" xfId="1240"/>
    <cellStyle name="표준 3 3 3 6" xfId="1241"/>
    <cellStyle name="표준 3 3 4" xfId="1242"/>
    <cellStyle name="표준 3 3 4 2" xfId="1243"/>
    <cellStyle name="표준 3 3 4 2 2" xfId="1244"/>
    <cellStyle name="표준 3 3 4 3" xfId="1245"/>
    <cellStyle name="표준 3 3 4 4" xfId="1246"/>
    <cellStyle name="표준 3 3 4 5" xfId="1247"/>
    <cellStyle name="표준 3 3 5" xfId="1248"/>
    <cellStyle name="표준 3 3 6" xfId="1249"/>
    <cellStyle name="표준 3 3 7" xfId="1250"/>
    <cellStyle name="표준 3 4" xfId="1251"/>
    <cellStyle name="표준 3 4 2" xfId="1252"/>
    <cellStyle name="표준 3 4 2 2" xfId="1253"/>
    <cellStyle name="표준 3 4 2 3" xfId="1254"/>
    <cellStyle name="표준 3 4 2 4" xfId="1255"/>
    <cellStyle name="표준 3 4 3" xfId="1256"/>
    <cellStyle name="표준 3 4 3 2" xfId="1257"/>
    <cellStyle name="표준 3 4 3 3" xfId="1258"/>
    <cellStyle name="표준 3 4 3 4" xfId="1259"/>
    <cellStyle name="표준 3 4 4" xfId="1260"/>
    <cellStyle name="표준 3 4 5" xfId="1261"/>
    <cellStyle name="표준 3 4 6" xfId="1262"/>
    <cellStyle name="표준 3 5" xfId="1263"/>
    <cellStyle name="표준 3 5 2" xfId="1264"/>
    <cellStyle name="표준 3 5 2 2" xfId="1265"/>
    <cellStyle name="표준 3 5 2 2 2" xfId="1266"/>
    <cellStyle name="표준 3 5 2 2 3" xfId="1267"/>
    <cellStyle name="표준 3 5 2 2 4" xfId="1268"/>
    <cellStyle name="표준 3 5 2 3" xfId="1269"/>
    <cellStyle name="표준 3 5 2 3 2" xfId="1270"/>
    <cellStyle name="표준 3 5 2 3 3" xfId="1271"/>
    <cellStyle name="표준 3 5 2 3 4" xfId="1272"/>
    <cellStyle name="표준 3 5 2 4" xfId="1273"/>
    <cellStyle name="표준 3 5 2 4 2" xfId="1274"/>
    <cellStyle name="표준 3 5 2 4 3" xfId="1275"/>
    <cellStyle name="표준 3 5 2 4 4" xfId="1276"/>
    <cellStyle name="표준 3 5 2 5" xfId="1277"/>
    <cellStyle name="표준 3 5 2 5 2" xfId="1278"/>
    <cellStyle name="표준 3 5 2 5 3" xfId="1279"/>
    <cellStyle name="표준 3 5 2 5 4" xfId="1280"/>
    <cellStyle name="표준 3 5 2 6" xfId="1281"/>
    <cellStyle name="표준 3 5 2 6 2" xfId="1282"/>
    <cellStyle name="표준 3 5 2 6 3" xfId="1283"/>
    <cellStyle name="표준 3 5 2 6 4" xfId="1284"/>
    <cellStyle name="표준 3 5 2 7" xfId="1285"/>
    <cellStyle name="표준 3 5 2 8" xfId="1286"/>
    <cellStyle name="표준 3 5 3" xfId="1287"/>
    <cellStyle name="표준 3 5 3 2" xfId="1288"/>
    <cellStyle name="표준 3 5 3 3" xfId="1289"/>
    <cellStyle name="표준 3 5 3 4" xfId="1290"/>
    <cellStyle name="표준 3 5 4" xfId="1291"/>
    <cellStyle name="표준 3 5 4 2" xfId="1292"/>
    <cellStyle name="표준 3 5 4 3" xfId="1293"/>
    <cellStyle name="표준 3 5 4 4" xfId="1294"/>
    <cellStyle name="표준 3 5 5" xfId="1295"/>
    <cellStyle name="표준 3 5 6" xfId="1296"/>
    <cellStyle name="표준 3 5 7" xfId="1297"/>
    <cellStyle name="표준 3 6" xfId="1298"/>
    <cellStyle name="표준 3 6 2" xfId="1299"/>
    <cellStyle name="표준 3 6 2 2" xfId="1300"/>
    <cellStyle name="표준 3 6 2 3" xfId="1301"/>
    <cellStyle name="표준 3 6 2 4" xfId="1302"/>
    <cellStyle name="표준 3 6 3" xfId="1303"/>
    <cellStyle name="표준 3 6 3 2" xfId="1304"/>
    <cellStyle name="표준 3 6 3 3" xfId="1305"/>
    <cellStyle name="표준 3 6 3 4" xfId="1306"/>
    <cellStyle name="표준 3 6 4" xfId="1307"/>
    <cellStyle name="표준 3 6 4 2" xfId="1308"/>
    <cellStyle name="표준 3 6 4 3" xfId="1309"/>
    <cellStyle name="표준 3 6 4 4" xfId="1310"/>
    <cellStyle name="표준 3 6 5" xfId="1311"/>
    <cellStyle name="표준 3 6 6" xfId="1312"/>
    <cellStyle name="표준 3 6 7" xfId="1313"/>
    <cellStyle name="표준 3 7" xfId="1314"/>
    <cellStyle name="표준 3 7 2" xfId="1315"/>
    <cellStyle name="표준 3 7 2 2" xfId="1316"/>
    <cellStyle name="표준 3 7 2 2 2" xfId="1317"/>
    <cellStyle name="표준 3 7 2 3" xfId="1318"/>
    <cellStyle name="표준 3 7 2 4" xfId="1319"/>
    <cellStyle name="표준 3 7 3" xfId="1320"/>
    <cellStyle name="표준 3 7 4" xfId="1321"/>
    <cellStyle name="표준 3 7 5" xfId="1322"/>
    <cellStyle name="표준 3 8" xfId="1323"/>
    <cellStyle name="표준 3 8 2" xfId="1324"/>
    <cellStyle name="표준 3 8 2 2" xfId="1325"/>
    <cellStyle name="표준 3 8 2 3" xfId="1326"/>
    <cellStyle name="표준 3 8 2 4" xfId="1327"/>
    <cellStyle name="표준 3 8 3" xfId="1328"/>
    <cellStyle name="표준 3 8 3 2" xfId="1329"/>
    <cellStyle name="표준 3 8 3 3" xfId="1330"/>
    <cellStyle name="표준 3 8 3 4" xfId="1331"/>
    <cellStyle name="표준 3 8 4" xfId="1332"/>
    <cellStyle name="표준 3 8 5" xfId="1333"/>
    <cellStyle name="표준 3 8 6" xfId="1334"/>
    <cellStyle name="표준 3 9" xfId="1335"/>
    <cellStyle name="표준 3 9 2" xfId="1336"/>
    <cellStyle name="표준 3 9 2 2" xfId="1337"/>
    <cellStyle name="표준 3 9 3" xfId="1338"/>
    <cellStyle name="표준 3 9 4" xfId="1339"/>
    <cellStyle name="표준 30" xfId="1340"/>
    <cellStyle name="표준 30 2" xfId="1341"/>
    <cellStyle name="표준 30 3" xfId="1342"/>
    <cellStyle name="표준 30 4" xfId="1343"/>
    <cellStyle name="표준 31" xfId="1344"/>
    <cellStyle name="표준 31 2" xfId="1345"/>
    <cellStyle name="표준 31 3" xfId="1346"/>
    <cellStyle name="표준 31 4" xfId="1347"/>
    <cellStyle name="표준 32" xfId="1348"/>
    <cellStyle name="표준 32 2" xfId="1349"/>
    <cellStyle name="표준 32 3" xfId="1350"/>
    <cellStyle name="표준 32 4" xfId="1351"/>
    <cellStyle name="표준 33" xfId="1352"/>
    <cellStyle name="표준 33 2" xfId="1353"/>
    <cellStyle name="표준 33 3" xfId="1354"/>
    <cellStyle name="표준 33 4" xfId="1355"/>
    <cellStyle name="표준 34" xfId="1356"/>
    <cellStyle name="표준 34 2" xfId="1357"/>
    <cellStyle name="표준 34 3" xfId="1358"/>
    <cellStyle name="표준 34 4" xfId="1359"/>
    <cellStyle name="표준 35" xfId="1360"/>
    <cellStyle name="표준 35 2" xfId="1361"/>
    <cellStyle name="표준 35 2 2" xfId="1362"/>
    <cellStyle name="표준 35 2 3" xfId="1363"/>
    <cellStyle name="표준 35 2 4" xfId="1364"/>
    <cellStyle name="표준 35 3" xfId="1365"/>
    <cellStyle name="표준 35 3 2" xfId="1366"/>
    <cellStyle name="표준 35 3 3" xfId="1367"/>
    <cellStyle name="표준 35 3 4" xfId="1368"/>
    <cellStyle name="표준 35 4" xfId="1369"/>
    <cellStyle name="표준 35 4 2" xfId="1370"/>
    <cellStyle name="표준 35 4 3" xfId="1371"/>
    <cellStyle name="표준 35 4 4" xfId="1372"/>
    <cellStyle name="표준 35 5" xfId="1373"/>
    <cellStyle name="표준 35 6" xfId="1374"/>
    <cellStyle name="표준 35 7" xfId="1375"/>
    <cellStyle name="표준 36" xfId="1376"/>
    <cellStyle name="표준 36 2" xfId="1377"/>
    <cellStyle name="표준 36 3" xfId="1378"/>
    <cellStyle name="표준 36 4" xfId="1379"/>
    <cellStyle name="표준 37" xfId="1380"/>
    <cellStyle name="표준 37 2" xfId="1381"/>
    <cellStyle name="표준 37 2 2" xfId="1382"/>
    <cellStyle name="표준 37 2 3" xfId="1383"/>
    <cellStyle name="표준 37 2 4" xfId="1384"/>
    <cellStyle name="표준 37 3" xfId="1385"/>
    <cellStyle name="표준 37 3 2" xfId="1386"/>
    <cellStyle name="표준 37 3 3" xfId="1387"/>
    <cellStyle name="표준 37 4" xfId="1388"/>
    <cellStyle name="표준 37 5" xfId="1389"/>
    <cellStyle name="표준 37 5 2" xfId="1390"/>
    <cellStyle name="표준 37 6" xfId="1391"/>
    <cellStyle name="표준 37 7" xfId="1392"/>
    <cellStyle name="표준 38" xfId="1393"/>
    <cellStyle name="표준 38 2" xfId="1394"/>
    <cellStyle name="표준 38 3" xfId="1395"/>
    <cellStyle name="표준 38 4" xfId="1396"/>
    <cellStyle name="표준 39" xfId="1397"/>
    <cellStyle name="표준 39 2" xfId="1398"/>
    <cellStyle name="표준 39 2 2" xfId="1399"/>
    <cellStyle name="표준 39 2 2 2" xfId="1400"/>
    <cellStyle name="표준 39 2 2 3" xfId="1401"/>
    <cellStyle name="표준 39 2 3" xfId="1402"/>
    <cellStyle name="표준 39 2 3 2" xfId="1403"/>
    <cellStyle name="표준 39 2 3 3" xfId="1404"/>
    <cellStyle name="표준 39 2 4" xfId="1405"/>
    <cellStyle name="표준 39 2 5" xfId="1406"/>
    <cellStyle name="표준 39 3" xfId="1407"/>
    <cellStyle name="표준 39 3 2" xfId="1408"/>
    <cellStyle name="표준 39 3 2 2" xfId="1409"/>
    <cellStyle name="표준 39 3 3" xfId="1410"/>
    <cellStyle name="표준 39 3 3 2" xfId="1411"/>
    <cellStyle name="표준 39 3 4" xfId="1412"/>
    <cellStyle name="표준 39 3 5" xfId="1413"/>
    <cellStyle name="표준 39 4" xfId="1414"/>
    <cellStyle name="표준 39 4 2" xfId="1415"/>
    <cellStyle name="표준 39 5" xfId="1416"/>
    <cellStyle name="표준 39 5 2" xfId="1417"/>
    <cellStyle name="표준 39 5 3" xfId="1418"/>
    <cellStyle name="표준 39 6" xfId="1419"/>
    <cellStyle name="표준 4" xfId="1420"/>
    <cellStyle name="표준 4 10" xfId="1421"/>
    <cellStyle name="표준 4 11" xfId="1422"/>
    <cellStyle name="표준 4 2" xfId="1423"/>
    <cellStyle name="표준 4 2 2" xfId="1424"/>
    <cellStyle name="표준 4 2 2 2" xfId="1425"/>
    <cellStyle name="표준 4 2 2 2 2" xfId="1426"/>
    <cellStyle name="표준 4 2 2 2 3" xfId="1427"/>
    <cellStyle name="표준 4 2 2 2 4" xfId="1428"/>
    <cellStyle name="표준 4 2 2 3" xfId="1429"/>
    <cellStyle name="표준 4 2 2 4" xfId="1430"/>
    <cellStyle name="표준 4 2 2 5" xfId="1431"/>
    <cellStyle name="표준 4 2 3" xfId="1432"/>
    <cellStyle name="표준 4 2 3 2" xfId="1433"/>
    <cellStyle name="표준 4 2 3 3" xfId="1434"/>
    <cellStyle name="표준 4 2 3 4" xfId="1435"/>
    <cellStyle name="표준 4 2 4" xfId="1436"/>
    <cellStyle name="표준 4 2 5" xfId="1437"/>
    <cellStyle name="표준 4 2 6" xfId="1438"/>
    <cellStyle name="표준 4 3" xfId="1439"/>
    <cellStyle name="표준 4 3 2" xfId="1440"/>
    <cellStyle name="표준 4 3 3" xfId="1441"/>
    <cellStyle name="표준 4 3 4" xfId="1442"/>
    <cellStyle name="표준 4 4" xfId="1443"/>
    <cellStyle name="표준 4 4 2" xfId="1444"/>
    <cellStyle name="표준 4 4 3" xfId="1445"/>
    <cellStyle name="표준 4 4 4" xfId="1446"/>
    <cellStyle name="표준 4 5" xfId="1447"/>
    <cellStyle name="표준 4 5 2" xfId="1448"/>
    <cellStyle name="표준 4 5 2 2" xfId="1449"/>
    <cellStyle name="표준 4 5 2 2 2" xfId="1450"/>
    <cellStyle name="표준 4 5 2 2 3" xfId="1451"/>
    <cellStyle name="표준 4 5 2 2 4" xfId="1452"/>
    <cellStyle name="표준 4 5 2 3" xfId="1453"/>
    <cellStyle name="표준 4 5 2 3 2" xfId="1454"/>
    <cellStyle name="표준 4 5 2 3 3" xfId="1455"/>
    <cellStyle name="표준 4 5 2 3 4" xfId="1456"/>
    <cellStyle name="표준 4 5 2 4" xfId="1457"/>
    <cellStyle name="표준 4 5 2 4 2" xfId="1458"/>
    <cellStyle name="표준 4 5 2 4 3" xfId="1459"/>
    <cellStyle name="표준 4 5 2 4 4" xfId="1460"/>
    <cellStyle name="표준 4 5 2 5" xfId="1461"/>
    <cellStyle name="표준 4 5 2 5 2" xfId="1462"/>
    <cellStyle name="표준 4 5 2 5 3" xfId="1463"/>
    <cellStyle name="표준 4 5 2 5 4" xfId="1464"/>
    <cellStyle name="표준 4 5 2 6" xfId="1465"/>
    <cellStyle name="표준 4 5 2 6 2" xfId="1466"/>
    <cellStyle name="표준 4 5 2 6 3" xfId="1467"/>
    <cellStyle name="표준 4 5 2 6 4" xfId="1468"/>
    <cellStyle name="표준 4 5 2 7" xfId="1469"/>
    <cellStyle name="표준 4 5 2 8" xfId="1470"/>
    <cellStyle name="표준 4 5 3" xfId="1471"/>
    <cellStyle name="표준 4 5 3 2" xfId="1472"/>
    <cellStyle name="표준 4 5 3 3" xfId="1473"/>
    <cellStyle name="표준 4 5 3 4" xfId="1474"/>
    <cellStyle name="표준 4 5 4" xfId="1475"/>
    <cellStyle name="표준 4 5 5" xfId="1476"/>
    <cellStyle name="표준 4 5 6" xfId="1477"/>
    <cellStyle name="표준 4 6" xfId="1478"/>
    <cellStyle name="표준 4 6 2" xfId="1479"/>
    <cellStyle name="표준 4 6 3" xfId="1480"/>
    <cellStyle name="표준 4 6 4" xfId="1481"/>
    <cellStyle name="표준 4 7" xfId="1482"/>
    <cellStyle name="표준 4 7 2" xfId="1483"/>
    <cellStyle name="표준 4 7 3" xfId="1484"/>
    <cellStyle name="표준 4 7 4" xfId="1485"/>
    <cellStyle name="표준 4 8" xfId="1486"/>
    <cellStyle name="표준 4 8 2" xfId="1487"/>
    <cellStyle name="표준 4 8 3" xfId="1488"/>
    <cellStyle name="표준 4 8 4" xfId="1489"/>
    <cellStyle name="표준 4 9" xfId="1490"/>
    <cellStyle name="표준 40" xfId="1491"/>
    <cellStyle name="표준 40 2" xfId="1492"/>
    <cellStyle name="표준 40 2 2" xfId="1493"/>
    <cellStyle name="표준 40 3" xfId="1494"/>
    <cellStyle name="표준 40 3 2" xfId="1495"/>
    <cellStyle name="표준 40 3 3" xfId="1496"/>
    <cellStyle name="표준 40 4" xfId="1497"/>
    <cellStyle name="표준 40 5" xfId="1498"/>
    <cellStyle name="표준 41" xfId="1499"/>
    <cellStyle name="표준 41 2" xfId="1500"/>
    <cellStyle name="표준 41 3" xfId="1501"/>
    <cellStyle name="표준 41 3 2" xfId="1502"/>
    <cellStyle name="표준 41 3 3" xfId="1503"/>
    <cellStyle name="표준 41 4" xfId="1504"/>
    <cellStyle name="표준 41 5" xfId="1505"/>
    <cellStyle name="표준 42" xfId="1506"/>
    <cellStyle name="표준 42 2" xfId="1507"/>
    <cellStyle name="표준 42 3" xfId="1508"/>
    <cellStyle name="표준 42 4" xfId="1509"/>
    <cellStyle name="표준 43" xfId="1510"/>
    <cellStyle name="표준 43 2" xfId="1511"/>
    <cellStyle name="표준 44" xfId="1512"/>
    <cellStyle name="표준 44 2" xfId="1513"/>
    <cellStyle name="표준 44 3" xfId="1514"/>
    <cellStyle name="표준 45" xfId="1515"/>
    <cellStyle name="표준 46" xfId="1516"/>
    <cellStyle name="표준 47" xfId="1517"/>
    <cellStyle name="표준 48" xfId="1518"/>
    <cellStyle name="표준 5" xfId="1519"/>
    <cellStyle name="표준 5 2" xfId="1520"/>
    <cellStyle name="표준 5 2 2" xfId="1521"/>
    <cellStyle name="표준 5 2 3" xfId="1522"/>
    <cellStyle name="표준 5 2 4" xfId="1523"/>
    <cellStyle name="표준 5 3" xfId="1524"/>
    <cellStyle name="표준 5 4" xfId="1525"/>
    <cellStyle name="표준 5 5" xfId="1526"/>
    <cellStyle name="표준 6" xfId="1527"/>
    <cellStyle name="표준 6 2" xfId="1528"/>
    <cellStyle name="표준 6 2 2" xfId="1529"/>
    <cellStyle name="표준 6 2 2 2" xfId="1530"/>
    <cellStyle name="표준 6 2 2 3" xfId="1531"/>
    <cellStyle name="표준 6 2 2 4" xfId="1532"/>
    <cellStyle name="표준 6 2 3" xfId="1533"/>
    <cellStyle name="표준 6 2 3 2" xfId="1534"/>
    <cellStyle name="표준 6 2 3 3" xfId="1535"/>
    <cellStyle name="표준 6 2 3 4" xfId="1536"/>
    <cellStyle name="표준 6 2 4" xfId="1537"/>
    <cellStyle name="표준 6 2 5" xfId="1538"/>
    <cellStyle name="표준 6 2 6" xfId="1539"/>
    <cellStyle name="표준 6 3" xfId="1540"/>
    <cellStyle name="표준 6 3 2" xfId="1541"/>
    <cellStyle name="표준 6 3 3" xfId="1542"/>
    <cellStyle name="표준 6 3 4" xfId="1543"/>
    <cellStyle name="표준 6 4" xfId="1544"/>
    <cellStyle name="표준 6 4 2" xfId="1545"/>
    <cellStyle name="표준 6 4 3" xfId="1546"/>
    <cellStyle name="표준 6 4 4" xfId="1547"/>
    <cellStyle name="표준 6 5" xfId="1548"/>
    <cellStyle name="표준 6 6" xfId="1549"/>
    <cellStyle name="표준 6 7" xfId="1550"/>
    <cellStyle name="표준 7" xfId="1551"/>
    <cellStyle name="표준 7 2" xfId="1552"/>
    <cellStyle name="표준 7 3" xfId="1553"/>
    <cellStyle name="표준 7 4" xfId="1554"/>
    <cellStyle name="표준 8" xfId="1555"/>
    <cellStyle name="표준 8 2" xfId="1556"/>
    <cellStyle name="표준 8 2 2" xfId="1557"/>
    <cellStyle name="표준 8 2 2 2" xfId="1558"/>
    <cellStyle name="표준 8 2 2 3" xfId="1559"/>
    <cellStyle name="표준 8 2 2 4" xfId="1560"/>
    <cellStyle name="표준 8 2 3" xfId="1561"/>
    <cellStyle name="표준 8 2 3 2" xfId="1562"/>
    <cellStyle name="표준 8 2 3 3" xfId="1563"/>
    <cellStyle name="표준 8 2 3 4" xfId="1564"/>
    <cellStyle name="표준 8 2 4" xfId="1565"/>
    <cellStyle name="표준 8 2 5" xfId="1566"/>
    <cellStyle name="표준 8 2 6" xfId="1567"/>
    <cellStyle name="표준 8 3" xfId="1568"/>
    <cellStyle name="표준 8 3 2" xfId="1569"/>
    <cellStyle name="표준 8 3 3" xfId="1570"/>
    <cellStyle name="표준 8 3 4" xfId="1571"/>
    <cellStyle name="표준 8 4" xfId="1572"/>
    <cellStyle name="표준 8 4 2" xfId="1573"/>
    <cellStyle name="표준 8 4 3" xfId="1574"/>
    <cellStyle name="표준 8 4 4" xfId="1575"/>
    <cellStyle name="표준 8 5" xfId="1576"/>
    <cellStyle name="표준 8 6" xfId="1577"/>
    <cellStyle name="표준 8 7" xfId="1578"/>
    <cellStyle name="표준 9" xfId="1579"/>
    <cellStyle name="표준 9 2" xfId="1580"/>
    <cellStyle name="표준 9 2 2" xfId="1581"/>
    <cellStyle name="표준 9 2 3" xfId="1582"/>
    <cellStyle name="표준 9 2 4" xfId="1583"/>
    <cellStyle name="표준 9 3" xfId="1584"/>
    <cellStyle name="표준 9 3 2" xfId="1585"/>
    <cellStyle name="표준 9 3 3" xfId="1586"/>
    <cellStyle name="표준 9 3 4" xfId="1587"/>
    <cellStyle name="표준 9 4" xfId="1588"/>
    <cellStyle name="표준 9 4 2" xfId="1589"/>
    <cellStyle name="표준 9 4 3" xfId="1590"/>
    <cellStyle name="표준 9 4 4" xfId="1591"/>
    <cellStyle name="표준 9 5" xfId="1592"/>
    <cellStyle name="표준 9 6" xfId="1593"/>
    <cellStyle name="표준 9 7" xfId="1594"/>
    <cellStyle name="표준_SCI SANMINA RETROFIT-BM 102571" xfId="1595"/>
    <cellStyle name="표준 49" xfId="1596"/>
    <cellStyle name="표준 43 3" xfId="1597"/>
    <cellStyle name="20% - Accent1 2 8" xfId="1598"/>
    <cellStyle name="20% - Accent1 2 2 5" xfId="1599"/>
    <cellStyle name="20% - Accent1 2 2 2 2" xfId="1600"/>
    <cellStyle name="20% - Accent1 2 3 3" xfId="1601"/>
    <cellStyle name="20% - Accent1 2 3 2" xfId="1602"/>
    <cellStyle name="20% - Accent1 2 4 3" xfId="1603"/>
    <cellStyle name="20% - Accent1 2 4 2" xfId="1604"/>
    <cellStyle name="20% - Accent1 2 5 3" xfId="1605"/>
    <cellStyle name="20% - Accent1 2 5 2" xfId="1606"/>
    <cellStyle name="20% - Accent1 2 6" xfId="1607"/>
    <cellStyle name="20% - Accent1 2 7" xfId="1608"/>
    <cellStyle name="20% - Accent1 3 6" xfId="1609"/>
    <cellStyle name="20% - Accent1 3 2 5" xfId="1610"/>
    <cellStyle name="20% - Accent1 3 2 2 2" xfId="1611"/>
    <cellStyle name="20% - Accent1 3 3 3" xfId="1612"/>
    <cellStyle name="20% - Accent1 3 3 2" xfId="1613"/>
    <cellStyle name="20% - Accent1 3 4 2" xfId="1614"/>
    <cellStyle name="20% - Accent1 4 5" xfId="1615"/>
    <cellStyle name="20% - Accent1 4 2 3" xfId="1616"/>
    <cellStyle name="20% - Accent1 4 2 2" xfId="1617"/>
    <cellStyle name="20% - Accent1 4 3 2" xfId="1618"/>
    <cellStyle name="20% - Accent1 5" xfId="1619"/>
    <cellStyle name="20% - Accent1 5 2" xfId="1620"/>
    <cellStyle name="20% - Accent1 5 2 2" xfId="1621"/>
    <cellStyle name="20% - Accent1 5 3" xfId="1622"/>
    <cellStyle name="20% - Accent1 6" xfId="1623"/>
    <cellStyle name="20% - Accent1 6 2" xfId="1624"/>
    <cellStyle name="20% - Accent2 2 8" xfId="1625"/>
    <cellStyle name="20% - Accent2 2 2 5" xfId="1626"/>
    <cellStyle name="20% - Accent2 2 2 2 2" xfId="1627"/>
    <cellStyle name="20% - Accent2 2 3 3" xfId="1628"/>
    <cellStyle name="20% - Accent2 2 3 2" xfId="1629"/>
    <cellStyle name="20% - Accent2 2 4 3" xfId="1630"/>
    <cellStyle name="20% - Accent2 2 4 2" xfId="1631"/>
    <cellStyle name="20% - Accent2 2 5 3" xfId="1632"/>
    <cellStyle name="20% - Accent2 2 5 2" xfId="1633"/>
    <cellStyle name="20% - Accent2 2 6" xfId="1634"/>
    <cellStyle name="20% - Accent2 2 7" xfId="1635"/>
    <cellStyle name="20% - Accent2 3 6" xfId="1636"/>
    <cellStyle name="20% - Accent2 3 2 5" xfId="1637"/>
    <cellStyle name="20% - Accent2 3 2 2 2" xfId="1638"/>
    <cellStyle name="20% - Accent2 3 3 3" xfId="1639"/>
    <cellStyle name="20% - Accent2 3 3 2" xfId="1640"/>
    <cellStyle name="20% - Accent2 3 4 2" xfId="1641"/>
    <cellStyle name="20% - Accent2 4 5" xfId="1642"/>
    <cellStyle name="20% - Accent2 4 2 3" xfId="1643"/>
    <cellStyle name="20% - Accent2 4 2 2" xfId="1644"/>
    <cellStyle name="20% - Accent2 4 3 2" xfId="1645"/>
    <cellStyle name="20% - Accent2 5" xfId="1646"/>
    <cellStyle name="20% - Accent2 5 2" xfId="1647"/>
    <cellStyle name="20% - Accent2 5 2 2" xfId="1648"/>
    <cellStyle name="20% - Accent2 5 3" xfId="1649"/>
    <cellStyle name="20% - Accent2 6" xfId="1650"/>
    <cellStyle name="20% - Accent2 6 2" xfId="1651"/>
    <cellStyle name="20% - Accent3 2 8" xfId="1652"/>
    <cellStyle name="20% - Accent3 2 2 2 2" xfId="1653"/>
    <cellStyle name="20% - Accent3 2 3 2" xfId="1654"/>
    <cellStyle name="20% - Accent3 2 4 2" xfId="1655"/>
    <cellStyle name="20% - Accent3 2 5 3" xfId="1656"/>
    <cellStyle name="20% - Accent3 2 5 2" xfId="1657"/>
    <cellStyle name="20% - Accent3 2 6" xfId="1658"/>
    <cellStyle name="20% - Accent3 2 7" xfId="1659"/>
    <cellStyle name="20% - Accent3 3 6" xfId="1660"/>
    <cellStyle name="20% - Accent3 3 2 2 2" xfId="1661"/>
    <cellStyle name="20% - Accent3 3 3 3" xfId="1662"/>
    <cellStyle name="20% - Accent3 3 3 2" xfId="1663"/>
    <cellStyle name="20% - Accent3 3 4 2" xfId="1664"/>
    <cellStyle name="20% - Accent3 4 2 3" xfId="1665"/>
    <cellStyle name="20% - Accent3 4 2 2" xfId="1666"/>
    <cellStyle name="20% - Accent3 5" xfId="1667"/>
    <cellStyle name="20% - Accent3 5 2" xfId="1668"/>
    <cellStyle name="20% - Accent3 5 2 2" xfId="1669"/>
    <cellStyle name="20% - Accent3 5 3" xfId="1670"/>
    <cellStyle name="20% - Accent3 6" xfId="1671"/>
    <cellStyle name="20% - Accent3 6 2" xfId="1672"/>
    <cellStyle name="20% - Accent4 2 8" xfId="1673"/>
    <cellStyle name="20% - Accent4 2 2 5" xfId="1674"/>
    <cellStyle name="20% - Accent4 2 2 2 2" xfId="1675"/>
    <cellStyle name="20% - Accent4 2 3 3" xfId="1676"/>
    <cellStyle name="20% - Accent4 2 3 2" xfId="1677"/>
    <cellStyle name="20% - Accent4 2 4 3" xfId="1678"/>
    <cellStyle name="20% - Accent4 2 4 2" xfId="1679"/>
    <cellStyle name="20% - Accent4 2 5 3" xfId="1680"/>
    <cellStyle name="20% - Accent4 2 5 2" xfId="1681"/>
    <cellStyle name="20% - Accent4 2 6" xfId="1682"/>
    <cellStyle name="20% - Accent4 2 7" xfId="1683"/>
    <cellStyle name="20% - Accent4 3 6" xfId="1684"/>
    <cellStyle name="20% - Accent4 3 2 5" xfId="1685"/>
    <cellStyle name="20% - Accent4 3 2 2 2" xfId="1686"/>
    <cellStyle name="20% - Accent4 3 3 3" xfId="1687"/>
    <cellStyle name="20% - Accent4 3 3 2" xfId="1688"/>
    <cellStyle name="20% - Accent4 3 4 2" xfId="1689"/>
    <cellStyle name="20% - Accent4 4 5" xfId="1690"/>
    <cellStyle name="20% - Accent4 4 2 3" xfId="1691"/>
    <cellStyle name="20% - Accent4 4 2 2" xfId="1692"/>
    <cellStyle name="20% - Accent4 4 3 2" xfId="1693"/>
    <cellStyle name="20% - Accent4 5" xfId="1694"/>
    <cellStyle name="20% - Accent4 5 2" xfId="1695"/>
    <cellStyle name="20% - Accent4 5 2 2" xfId="1696"/>
    <cellStyle name="20% - Accent4 5 3" xfId="1697"/>
    <cellStyle name="20% - Accent4 6" xfId="1698"/>
    <cellStyle name="20% - Accent4 6 2" xfId="1699"/>
    <cellStyle name="20% - Accent5 2 5 2" xfId="1700"/>
    <cellStyle name="20% - Accent5 2 6" xfId="1701"/>
    <cellStyle name="20% - Accent5 3 3 2" xfId="1702"/>
    <cellStyle name="20% - Accent5 5" xfId="1703"/>
    <cellStyle name="20% - Accent5 5 2" xfId="1704"/>
    <cellStyle name="20% - Accent6 2 8" xfId="1705"/>
    <cellStyle name="20% - Accent6 2 2 5" xfId="1706"/>
    <cellStyle name="20% - Accent6 2 2 2 2" xfId="1707"/>
    <cellStyle name="20% - Accent6 2 3 3" xfId="1708"/>
    <cellStyle name="20% - Accent6 2 3 2" xfId="1709"/>
    <cellStyle name="20% - Accent6 2 4 3" xfId="1710"/>
    <cellStyle name="20% - Accent6 2 4 2" xfId="1711"/>
    <cellStyle name="20% - Accent6 2 5 3" xfId="1712"/>
    <cellStyle name="20% - Accent6 2 5 2" xfId="1713"/>
    <cellStyle name="20% - Accent6 2 6" xfId="1714"/>
    <cellStyle name="20% - Accent6 2 7" xfId="1715"/>
    <cellStyle name="20% - Accent6 3 6" xfId="1716"/>
    <cellStyle name="20% - Accent6 3 2 5" xfId="1717"/>
    <cellStyle name="20% - Accent6 3 2 2 2" xfId="1718"/>
    <cellStyle name="20% - Accent6 3 3 3" xfId="1719"/>
    <cellStyle name="20% - Accent6 3 3 2" xfId="1720"/>
    <cellStyle name="20% - Accent6 3 4 2" xfId="1721"/>
    <cellStyle name="20% - Accent6 4 5" xfId="1722"/>
    <cellStyle name="20% - Accent6 4 2 3" xfId="1723"/>
    <cellStyle name="20% - Accent6 4 2 2" xfId="1724"/>
    <cellStyle name="20% - Accent6 4 3 2" xfId="1725"/>
    <cellStyle name="20% - Accent6 5" xfId="1726"/>
    <cellStyle name="20% - Accent6 5 2" xfId="1727"/>
    <cellStyle name="20% - Accent6 5 2 2" xfId="1728"/>
    <cellStyle name="20% - Accent6 5 3" xfId="1729"/>
    <cellStyle name="20% - Accent6 6" xfId="1730"/>
    <cellStyle name="20% - Accent6 6 2" xfId="1731"/>
    <cellStyle name="20% - 강조색1 2 5" xfId="1732"/>
    <cellStyle name="20% - 강조색1 2 2 2" xfId="1733"/>
    <cellStyle name="20% - 강조색1 3" xfId="1734"/>
    <cellStyle name="20% - 강조색1 3 2" xfId="1735"/>
    <cellStyle name="20% - 강조색2 2 5" xfId="1736"/>
    <cellStyle name="20% - 강조색2 2 2 2" xfId="1737"/>
    <cellStyle name="20% - 강조색2 3" xfId="1738"/>
    <cellStyle name="20% - 강조색2 3 2" xfId="1739"/>
    <cellStyle name="20% - 강조색3 2 5" xfId="1740"/>
    <cellStyle name="20% - 강조색3 2 2 2" xfId="1741"/>
    <cellStyle name="20% - 강조색3 3" xfId="1742"/>
    <cellStyle name="20% - 강조색3 3 2" xfId="1743"/>
    <cellStyle name="20% - 강조색4 2 5" xfId="1744"/>
    <cellStyle name="20% - 강조색4 2 2 2" xfId="1745"/>
    <cellStyle name="20% - 강조색4 3" xfId="1746"/>
    <cellStyle name="20% - 강조색4 3 2" xfId="1747"/>
    <cellStyle name="20% - 강조색5 2 5" xfId="1748"/>
    <cellStyle name="20% - 강조색5 3" xfId="1749"/>
    <cellStyle name="20% - 강조색6 2 5" xfId="1750"/>
    <cellStyle name="20% - 강조색6 2 2 2" xfId="1751"/>
    <cellStyle name="20% - 강조색6 3" xfId="1752"/>
    <cellStyle name="20% - 강조색6 3 2" xfId="1753"/>
    <cellStyle name="40% - Accent1 2 8" xfId="1754"/>
    <cellStyle name="40% - Accent1 2 2 5" xfId="1755"/>
    <cellStyle name="40% - Accent1 2 2 2 2" xfId="1756"/>
    <cellStyle name="40% - Accent1 2 3 3" xfId="1757"/>
    <cellStyle name="40% - Accent1 2 3 2" xfId="1758"/>
    <cellStyle name="40% - Accent1 2 4 3" xfId="1759"/>
    <cellStyle name="40% - Accent1 2 4 2" xfId="1760"/>
    <cellStyle name="40% - Accent1 2 5 3" xfId="1761"/>
    <cellStyle name="40% - Accent1 2 5 2" xfId="1762"/>
    <cellStyle name="40% - Accent1 2 6" xfId="1763"/>
    <cellStyle name="40% - Accent1 2 7" xfId="1764"/>
    <cellStyle name="40% - Accent1 3 6" xfId="1765"/>
    <cellStyle name="40% - Accent1 3 2 5" xfId="1766"/>
    <cellStyle name="40% - Accent1 3 2 2 2" xfId="1767"/>
    <cellStyle name="40% - Accent1 3 3 3" xfId="1768"/>
    <cellStyle name="40% - Accent1 3 3 2" xfId="1769"/>
    <cellStyle name="40% - Accent1 3 4 2" xfId="1770"/>
    <cellStyle name="40% - Accent1 4 5" xfId="1771"/>
    <cellStyle name="40% - Accent1 4 2 3" xfId="1772"/>
    <cellStyle name="40% - Accent1 4 2 2" xfId="1773"/>
    <cellStyle name="40% - Accent1 4 3 2" xfId="1774"/>
    <cellStyle name="40% - Accent1 5" xfId="1775"/>
    <cellStyle name="40% - Accent1 5 2" xfId="1776"/>
    <cellStyle name="40% - Accent1 5 2 2" xfId="1777"/>
    <cellStyle name="40% - Accent1 5 3" xfId="1778"/>
    <cellStyle name="40% - Accent1 6" xfId="1779"/>
    <cellStyle name="40% - Accent1 6 2" xfId="1780"/>
    <cellStyle name="40% - Accent2 2 5 2" xfId="1781"/>
    <cellStyle name="40% - Accent2 2 6" xfId="1782"/>
    <cellStyle name="40% - Accent2 3 3 2" xfId="1783"/>
    <cellStyle name="40% - Accent2 5" xfId="1784"/>
    <cellStyle name="40% - Accent2 5 2" xfId="1785"/>
    <cellStyle name="40% - Accent3 2 8" xfId="1786"/>
    <cellStyle name="40% - Accent3 2 2 2 2" xfId="1787"/>
    <cellStyle name="40% - Accent3 2 3 2" xfId="1788"/>
    <cellStyle name="40% - Accent3 2 4 2" xfId="1789"/>
    <cellStyle name="40% - Accent3 2 5 3" xfId="1790"/>
    <cellStyle name="40% - Accent3 2 5 2" xfId="1791"/>
    <cellStyle name="40% - Accent3 2 6" xfId="1792"/>
    <cellStyle name="40% - Accent3 2 7" xfId="1793"/>
    <cellStyle name="40% - Accent3 3 6" xfId="1794"/>
    <cellStyle name="40% - Accent3 3 2 2 2" xfId="1795"/>
    <cellStyle name="40% - Accent3 3 3 3" xfId="1796"/>
    <cellStyle name="40% - Accent3 3 3 2" xfId="1797"/>
    <cellStyle name="40% - Accent3 3 4 2" xfId="1798"/>
    <cellStyle name="40% - Accent3 4 2 3" xfId="1799"/>
    <cellStyle name="40% - Accent3 4 2 2" xfId="1800"/>
    <cellStyle name="40% - Accent3 5" xfId="1801"/>
    <cellStyle name="40% - Accent3 5 2" xfId="1802"/>
    <cellStyle name="40% - Accent3 5 2 2" xfId="1803"/>
    <cellStyle name="40% - Accent3 5 3" xfId="1804"/>
    <cellStyle name="40% - Accent3 6" xfId="1805"/>
    <cellStyle name="40% - Accent3 6 2" xfId="1806"/>
    <cellStyle name="40% - Accent4 2 8" xfId="1807"/>
    <cellStyle name="40% - Accent4 2 2 5" xfId="1808"/>
    <cellStyle name="40% - Accent4 2 2 2 2" xfId="1809"/>
    <cellStyle name="40% - Accent4 2 3 3" xfId="1810"/>
    <cellStyle name="40% - Accent4 2 3 2" xfId="1811"/>
    <cellStyle name="40% - Accent4 2 4 3" xfId="1812"/>
    <cellStyle name="40% - Accent4 2 4 2" xfId="1813"/>
    <cellStyle name="40% - Accent4 2 5 3" xfId="1814"/>
    <cellStyle name="40% - Accent4 2 5 2" xfId="1815"/>
    <cellStyle name="40% - Accent4 2 6" xfId="1816"/>
    <cellStyle name="40% - Accent4 2 7" xfId="1817"/>
    <cellStyle name="40% - Accent4 3 6" xfId="1818"/>
    <cellStyle name="40% - Accent4 3 2 5" xfId="1819"/>
    <cellStyle name="40% - Accent4 3 2 2 2" xfId="1820"/>
    <cellStyle name="40% - Accent4 3 3 3" xfId="1821"/>
    <cellStyle name="40% - Accent4 3 3 2" xfId="1822"/>
    <cellStyle name="40% - Accent4 3 4 2" xfId="1823"/>
    <cellStyle name="40% - Accent4 4 5" xfId="1824"/>
    <cellStyle name="40% - Accent4 4 2 3" xfId="1825"/>
    <cellStyle name="40% - Accent4 4 2 2" xfId="1826"/>
    <cellStyle name="40% - Accent4 4 3 2" xfId="1827"/>
    <cellStyle name="40% - Accent4 5" xfId="1828"/>
    <cellStyle name="40% - Accent4 5 2" xfId="1829"/>
    <cellStyle name="40% - Accent4 5 2 2" xfId="1830"/>
    <cellStyle name="40% - Accent4 5 3" xfId="1831"/>
    <cellStyle name="40% - Accent4 6" xfId="1832"/>
    <cellStyle name="40% - Accent4 6 2" xfId="1833"/>
    <cellStyle name="40% - Accent5 2 8" xfId="1834"/>
    <cellStyle name="40% - Accent5 2 2 5" xfId="1835"/>
    <cellStyle name="40% - Accent5 2 2 2 2" xfId="1836"/>
    <cellStyle name="40% - Accent5 2 3 3" xfId="1837"/>
    <cellStyle name="40% - Accent5 2 3 2" xfId="1838"/>
    <cellStyle name="40% - Accent5 2 4 3" xfId="1839"/>
    <cellStyle name="40% - Accent5 2 4 2" xfId="1840"/>
    <cellStyle name="40% - Accent5 2 5 3" xfId="1841"/>
    <cellStyle name="40% - Accent5 2 5 2" xfId="1842"/>
    <cellStyle name="40% - Accent5 2 6" xfId="1843"/>
    <cellStyle name="40% - Accent5 2 7" xfId="1844"/>
    <cellStyle name="40% - Accent5 3 6" xfId="1845"/>
    <cellStyle name="40% - Accent5 3 2 5" xfId="1846"/>
    <cellStyle name="40% - Accent5 3 2 2 2" xfId="1847"/>
    <cellStyle name="40% - Accent5 3 3 3" xfId="1848"/>
    <cellStyle name="40% - Accent5 3 3 2" xfId="1849"/>
    <cellStyle name="40% - Accent5 3 4 2" xfId="1850"/>
    <cellStyle name="40% - Accent5 4 5" xfId="1851"/>
    <cellStyle name="40% - Accent5 4 2 3" xfId="1852"/>
    <cellStyle name="40% - Accent5 4 2 2" xfId="1853"/>
    <cellStyle name="40% - Accent5 4 3 2" xfId="1854"/>
    <cellStyle name="40% - Accent5 5" xfId="1855"/>
    <cellStyle name="40% - Accent5 5 2" xfId="1856"/>
    <cellStyle name="40% - Accent5 5 2 2" xfId="1857"/>
    <cellStyle name="40% - Accent5 5 3" xfId="1858"/>
    <cellStyle name="40% - Accent5 6" xfId="1859"/>
    <cellStyle name="40% - Accent5 6 2" xfId="1860"/>
    <cellStyle name="40% - Accent6 2 8" xfId="1861"/>
    <cellStyle name="40% - Accent6 2 2 5" xfId="1862"/>
    <cellStyle name="40% - Accent6 2 2 2 2" xfId="1863"/>
    <cellStyle name="40% - Accent6 2 3 3" xfId="1864"/>
    <cellStyle name="40% - Accent6 2 3 2" xfId="1865"/>
    <cellStyle name="40% - Accent6 2 4 3" xfId="1866"/>
    <cellStyle name="40% - Accent6 2 4 2" xfId="1867"/>
    <cellStyle name="40% - Accent6 2 5 3" xfId="1868"/>
    <cellStyle name="40% - Accent6 2 5 2" xfId="1869"/>
    <cellStyle name="40% - Accent6 2 6" xfId="1870"/>
    <cellStyle name="40% - Accent6 2 7" xfId="1871"/>
    <cellStyle name="40% - Accent6 3 6" xfId="1872"/>
    <cellStyle name="40% - Accent6 3 2 5" xfId="1873"/>
    <cellStyle name="40% - Accent6 3 2 2 2" xfId="1874"/>
    <cellStyle name="40% - Accent6 3 3 3" xfId="1875"/>
    <cellStyle name="40% - Accent6 3 3 2" xfId="1876"/>
    <cellStyle name="40% - Accent6 3 4 2" xfId="1877"/>
    <cellStyle name="40% - Accent6 4 5" xfId="1878"/>
    <cellStyle name="40% - Accent6 4 2 3" xfId="1879"/>
    <cellStyle name="40% - Accent6 4 2 2" xfId="1880"/>
    <cellStyle name="40% - Accent6 4 3 2" xfId="1881"/>
    <cellStyle name="40% - Accent6 5" xfId="1882"/>
    <cellStyle name="40% - Accent6 5 2" xfId="1883"/>
    <cellStyle name="40% - Accent6 5 2 2" xfId="1884"/>
    <cellStyle name="40% - Accent6 5 3" xfId="1885"/>
    <cellStyle name="40% - Accent6 6" xfId="1886"/>
    <cellStyle name="40% - Accent6 6 2" xfId="1887"/>
    <cellStyle name="40% - 강조색1 2 5" xfId="1888"/>
    <cellStyle name="40% - 강조색1 2 2 2" xfId="1889"/>
    <cellStyle name="40% - 강조색1 3" xfId="1890"/>
    <cellStyle name="40% - 강조색1 3 2" xfId="1891"/>
    <cellStyle name="40% - 강조색2 2 5" xfId="1892"/>
    <cellStyle name="40% - 강조색2 3" xfId="1893"/>
    <cellStyle name="40% - 강조색3 2 5" xfId="1894"/>
    <cellStyle name="40% - 강조색3 2 2 2" xfId="1895"/>
    <cellStyle name="40% - 강조색3 3" xfId="1896"/>
    <cellStyle name="40% - 강조색3 3 2" xfId="1897"/>
    <cellStyle name="40% - 강조색4 2 5" xfId="1898"/>
    <cellStyle name="40% - 강조색4 2 2 2" xfId="1899"/>
    <cellStyle name="40% - 강조색4 3" xfId="1900"/>
    <cellStyle name="40% - 강조색4 3 2" xfId="1901"/>
    <cellStyle name="40% - 강조색5 2 5" xfId="1902"/>
    <cellStyle name="40% - 강조색5 2 2 2" xfId="1903"/>
    <cellStyle name="40% - 강조색5 3" xfId="1904"/>
    <cellStyle name="40% - 강조색5 3 2" xfId="1905"/>
    <cellStyle name="40% - 강조색6 2 5" xfId="1906"/>
    <cellStyle name="40% - 강조색6 2 2 2" xfId="1907"/>
    <cellStyle name="40% - 강조색6 3" xfId="1908"/>
    <cellStyle name="40% - 강조색6 3 2" xfId="1909"/>
    <cellStyle name="60% - Accent1 2" xfId="1910"/>
    <cellStyle name="60% - Accent1 2 2" xfId="1911"/>
    <cellStyle name="60% - Accent1 2 2 2" xfId="1912"/>
    <cellStyle name="60% - Accent1 2 3" xfId="1913"/>
    <cellStyle name="60% - Accent1 2 3 2" xfId="1914"/>
    <cellStyle name="60% - Accent1 2 4" xfId="1915"/>
    <cellStyle name="60% - Accent1 2 4 2" xfId="1916"/>
    <cellStyle name="60% - Accent1 2 5" xfId="1917"/>
    <cellStyle name="60% - Accent1 2 6" xfId="1918"/>
    <cellStyle name="60% - Accent1 2 7" xfId="1919"/>
    <cellStyle name="60% - Accent1 3" xfId="1920"/>
    <cellStyle name="60% - Accent1 3 2" xfId="1921"/>
    <cellStyle name="60% - Accent1 3 2 2" xfId="1922"/>
    <cellStyle name="60% - Accent1 3 3" xfId="1923"/>
    <cellStyle name="60% - Accent1 4" xfId="1924"/>
    <cellStyle name="60% - Accent1 4 2" xfId="1925"/>
    <cellStyle name="60% - Accent1 5" xfId="1926"/>
    <cellStyle name="60% - Accent1 5 2" xfId="1927"/>
    <cellStyle name="60% - Accent1 6" xfId="1928"/>
    <cellStyle name="60% - Accent2 2" xfId="1929"/>
    <cellStyle name="60% - Accent2 2 2" xfId="1930"/>
    <cellStyle name="60% - Accent2 2 2 2" xfId="1931"/>
    <cellStyle name="60% - Accent2 2 3" xfId="1932"/>
    <cellStyle name="60% - Accent2 2 3 2" xfId="1933"/>
    <cellStyle name="60% - Accent2 2 4" xfId="1934"/>
    <cellStyle name="60% - Accent2 2 4 2" xfId="1935"/>
    <cellStyle name="60% - Accent2 2 5" xfId="1936"/>
    <cellStyle name="60% - Accent2 2 6" xfId="1937"/>
    <cellStyle name="60% - Accent2 2 7" xfId="1938"/>
    <cellStyle name="60% - Accent2 3" xfId="1939"/>
    <cellStyle name="60% - Accent2 3 2" xfId="1940"/>
    <cellStyle name="60% - Accent2 3 2 2" xfId="1941"/>
    <cellStyle name="60% - Accent2 3 3" xfId="1942"/>
    <cellStyle name="60% - Accent2 4" xfId="1943"/>
    <cellStyle name="60% - Accent2 4 2" xfId="1944"/>
    <cellStyle name="60% - Accent2 5" xfId="1945"/>
    <cellStyle name="60% - Accent2 5 2" xfId="1946"/>
    <cellStyle name="60% - Accent2 6" xfId="1947"/>
    <cellStyle name="60% - Accent3 2" xfId="1948"/>
    <cellStyle name="60% - Accent3 2 2" xfId="1949"/>
    <cellStyle name="60% - Accent3 2 2 2" xfId="1950"/>
    <cellStyle name="60% - Accent3 2 3" xfId="1951"/>
    <cellStyle name="60% - Accent3 2 3 2" xfId="1952"/>
    <cellStyle name="60% - Accent3 2 4" xfId="1953"/>
    <cellStyle name="60% - Accent3 2 4 2" xfId="1954"/>
    <cellStyle name="60% - Accent3 2 5" xfId="1955"/>
    <cellStyle name="60% - Accent3 2 6" xfId="1956"/>
    <cellStyle name="60% - Accent3 2 7" xfId="1957"/>
    <cellStyle name="60% - Accent3 3" xfId="1958"/>
    <cellStyle name="60% - Accent3 3 2" xfId="1959"/>
    <cellStyle name="60% - Accent3 3 2 2" xfId="1960"/>
    <cellStyle name="60% - Accent3 3 3" xfId="1961"/>
    <cellStyle name="60% - Accent3 4" xfId="1962"/>
    <cellStyle name="60% - Accent3 4 2" xfId="1963"/>
    <cellStyle name="60% - Accent3 5" xfId="1964"/>
    <cellStyle name="60% - Accent3 5 2" xfId="1965"/>
    <cellStyle name="60% - Accent3 6" xfId="1966"/>
    <cellStyle name="60% - Accent4 2" xfId="1967"/>
    <cellStyle name="60% - Accent4 2 2" xfId="1968"/>
    <cellStyle name="60% - Accent4 2 2 2" xfId="1969"/>
    <cellStyle name="60% - Accent4 2 3" xfId="1970"/>
    <cellStyle name="60% - Accent4 2 3 2" xfId="1971"/>
    <cellStyle name="60% - Accent4 2 4" xfId="1972"/>
    <cellStyle name="60% - Accent4 2 4 2" xfId="1973"/>
    <cellStyle name="60% - Accent4 2 5" xfId="1974"/>
    <cellStyle name="60% - Accent4 2 6" xfId="1975"/>
    <cellStyle name="60% - Accent4 2 7" xfId="1976"/>
    <cellStyle name="60% - Accent4 3" xfId="1977"/>
    <cellStyle name="60% - Accent4 3 2" xfId="1978"/>
    <cellStyle name="60% - Accent4 3 2 2" xfId="1979"/>
    <cellStyle name="60% - Accent4 3 3" xfId="1980"/>
    <cellStyle name="60% - Accent4 4" xfId="1981"/>
    <cellStyle name="60% - Accent4 4 2" xfId="1982"/>
    <cellStyle name="60% - Accent4 5" xfId="1983"/>
    <cellStyle name="60% - Accent4 5 2" xfId="1984"/>
    <cellStyle name="60% - Accent4 6" xfId="1985"/>
    <cellStyle name="60% - Accent5 2" xfId="1986"/>
    <cellStyle name="60% - Accent5 2 2" xfId="1987"/>
    <cellStyle name="60% - Accent5 2 2 2" xfId="1988"/>
    <cellStyle name="60% - Accent5 2 3" xfId="1989"/>
    <cellStyle name="60% - Accent5 2 3 2" xfId="1990"/>
    <cellStyle name="60% - Accent5 2 4" xfId="1991"/>
    <cellStyle name="60% - Accent5 2 4 2" xfId="1992"/>
    <cellStyle name="60% - Accent5 2 5" xfId="1993"/>
    <cellStyle name="60% - Accent5 2 6" xfId="1994"/>
    <cellStyle name="60% - Accent5 2 7" xfId="1995"/>
    <cellStyle name="60% - Accent5 3" xfId="1996"/>
    <cellStyle name="60% - Accent5 3 2" xfId="1997"/>
    <cellStyle name="60% - Accent5 3 2 2" xfId="1998"/>
    <cellStyle name="60% - Accent5 3 3" xfId="1999"/>
    <cellStyle name="60% - Accent5 4" xfId="2000"/>
    <cellStyle name="60% - Accent5 4 2" xfId="2001"/>
    <cellStyle name="60% - Accent5 5" xfId="2002"/>
    <cellStyle name="60% - Accent5 5 2" xfId="2003"/>
    <cellStyle name="60% - Accent5 6" xfId="2004"/>
    <cellStyle name="60% - Accent6 2" xfId="2005"/>
    <cellStyle name="60% - Accent6 2 2" xfId="2006"/>
    <cellStyle name="60% - Accent6 2 2 2" xfId="2007"/>
    <cellStyle name="60% - Accent6 2 3" xfId="2008"/>
    <cellStyle name="60% - Accent6 2 3 2" xfId="2009"/>
    <cellStyle name="60% - Accent6 2 4" xfId="2010"/>
    <cellStyle name="60% - Accent6 2 4 2" xfId="2011"/>
    <cellStyle name="60% - Accent6 2 5" xfId="2012"/>
    <cellStyle name="60% - Accent6 2 6" xfId="2013"/>
    <cellStyle name="60% - Accent6 2 7" xfId="2014"/>
    <cellStyle name="60% - Accent6 3" xfId="2015"/>
    <cellStyle name="60% - Accent6 3 2" xfId="2016"/>
    <cellStyle name="60% - Accent6 3 2 2" xfId="2017"/>
    <cellStyle name="60% - Accent6 3 3" xfId="2018"/>
    <cellStyle name="60% - Accent6 4" xfId="2019"/>
    <cellStyle name="60% - Accent6 4 2" xfId="2020"/>
    <cellStyle name="60% - Accent6 5" xfId="2021"/>
    <cellStyle name="60% - Accent6 5 2" xfId="2022"/>
    <cellStyle name="60% - Accent6 6" xfId="2023"/>
    <cellStyle name="60% - 강조색1 2 5" xfId="2024"/>
    <cellStyle name="60% - 강조색1 2 2 2" xfId="2025"/>
    <cellStyle name="60% - 강조색1 3" xfId="2026"/>
    <cellStyle name="60% - 강조색1 3 2" xfId="2027"/>
    <cellStyle name="60% - 강조색2 2 5" xfId="2028"/>
    <cellStyle name="60% - 강조색2 2 2 2" xfId="2029"/>
    <cellStyle name="60% - 강조색2 3" xfId="2030"/>
    <cellStyle name="60% - 강조색2 3 2" xfId="2031"/>
    <cellStyle name="60% - 강조색3 2 5" xfId="2032"/>
    <cellStyle name="60% - 강조색3 2 2 2" xfId="2033"/>
    <cellStyle name="60% - 강조색3 3" xfId="2034"/>
    <cellStyle name="60% - 강조색3 3 2" xfId="2035"/>
    <cellStyle name="60% - 강조색4 2 5" xfId="2036"/>
    <cellStyle name="60% - 강조색4 2 2 2" xfId="2037"/>
    <cellStyle name="60% - 강조색4 3" xfId="2038"/>
    <cellStyle name="60% - 강조색4 3 2" xfId="2039"/>
    <cellStyle name="60% - 강조색5 2 5" xfId="2040"/>
    <cellStyle name="60% - 강조색5 2 2 2" xfId="2041"/>
    <cellStyle name="60% - 강조색5 3" xfId="2042"/>
    <cellStyle name="60% - 강조색5 3 2" xfId="2043"/>
    <cellStyle name="60% - 강조색6 2 5" xfId="2044"/>
    <cellStyle name="60% - 강조색6 2 2 2" xfId="2045"/>
    <cellStyle name="60% - 강조색6 3" xfId="2046"/>
    <cellStyle name="60% - 강조색6 3 2" xfId="2047"/>
    <cellStyle name="Accent1 2" xfId="2048"/>
    <cellStyle name="Accent1 2 2" xfId="2049"/>
    <cellStyle name="Accent1 2 2 2" xfId="2050"/>
    <cellStyle name="Accent1 2 3" xfId="2051"/>
    <cellStyle name="Accent1 2 3 2" xfId="2052"/>
    <cellStyle name="Accent1 2 4" xfId="2053"/>
    <cellStyle name="Accent1 2 4 2" xfId="2054"/>
    <cellStyle name="Accent1 2 5" xfId="2055"/>
    <cellStyle name="Accent1 2 6" xfId="2056"/>
    <cellStyle name="Accent1 2 7" xfId="2057"/>
    <cellStyle name="Accent1 3" xfId="2058"/>
    <cellStyle name="Accent1 3 2" xfId="2059"/>
    <cellStyle name="Accent1 3 2 2" xfId="2060"/>
    <cellStyle name="Accent1 3 3" xfId="2061"/>
    <cellStyle name="Accent1 4" xfId="2062"/>
    <cellStyle name="Accent1 4 2" xfId="2063"/>
    <cellStyle name="Accent1 5" xfId="2064"/>
    <cellStyle name="Accent1 5 2" xfId="2065"/>
    <cellStyle name="Accent1 6" xfId="2066"/>
    <cellStyle name="Accent2 2" xfId="2067"/>
    <cellStyle name="Accent2 2 2" xfId="2068"/>
    <cellStyle name="Accent2 2 2 2" xfId="2069"/>
    <cellStyle name="Accent2 2 3" xfId="2070"/>
    <cellStyle name="Accent2 2 3 2" xfId="2071"/>
    <cellStyle name="Accent2 2 4" xfId="2072"/>
    <cellStyle name="Accent2 2 4 2" xfId="2073"/>
    <cellStyle name="Accent2 2 5" xfId="2074"/>
    <cellStyle name="Accent2 2 6" xfId="2075"/>
    <cellStyle name="Accent2 2 7" xfId="2076"/>
    <cellStyle name="Accent2 3" xfId="2077"/>
    <cellStyle name="Accent2 3 2" xfId="2078"/>
    <cellStyle name="Accent2 3 2 2" xfId="2079"/>
    <cellStyle name="Accent2 3 3" xfId="2080"/>
    <cellStyle name="Accent2 4" xfId="2081"/>
    <cellStyle name="Accent2 4 2" xfId="2082"/>
    <cellStyle name="Accent2 5" xfId="2083"/>
    <cellStyle name="Accent2 5 2" xfId="2084"/>
    <cellStyle name="Accent2 6" xfId="2085"/>
    <cellStyle name="Accent3 2" xfId="2086"/>
    <cellStyle name="Accent3 2 2" xfId="2087"/>
    <cellStyle name="Accent3 2 2 2" xfId="2088"/>
    <cellStyle name="Accent3 2 3" xfId="2089"/>
    <cellStyle name="Accent3 2 3 2" xfId="2090"/>
    <cellStyle name="Accent3 2 4" xfId="2091"/>
    <cellStyle name="Accent3 2 4 2" xfId="2092"/>
    <cellStyle name="Accent3 2 5" xfId="2093"/>
    <cellStyle name="Accent3 2 6" xfId="2094"/>
    <cellStyle name="Accent3 2 7" xfId="2095"/>
    <cellStyle name="Accent3 3" xfId="2096"/>
    <cellStyle name="Accent3 3 2" xfId="2097"/>
    <cellStyle name="Accent3 3 2 2" xfId="2098"/>
    <cellStyle name="Accent3 3 3" xfId="2099"/>
    <cellStyle name="Accent3 4" xfId="2100"/>
    <cellStyle name="Accent3 4 2" xfId="2101"/>
    <cellStyle name="Accent3 5" xfId="2102"/>
    <cellStyle name="Accent3 5 2" xfId="2103"/>
    <cellStyle name="Accent3 6" xfId="2104"/>
    <cellStyle name="Accent4 2" xfId="2105"/>
    <cellStyle name="Accent4 2 2" xfId="2106"/>
    <cellStyle name="Accent4 2 2 2" xfId="2107"/>
    <cellStyle name="Accent4 2 3" xfId="2108"/>
    <cellStyle name="Accent4 2 3 2" xfId="2109"/>
    <cellStyle name="Accent4 2 4" xfId="2110"/>
    <cellStyle name="Accent4 2 4 2" xfId="2111"/>
    <cellStyle name="Accent4 2 5" xfId="2112"/>
    <cellStyle name="Accent4 2 6" xfId="2113"/>
    <cellStyle name="Accent4 2 7" xfId="2114"/>
    <cellStyle name="Accent4 3" xfId="2115"/>
    <cellStyle name="Accent4 3 2" xfId="2116"/>
    <cellStyle name="Accent4 3 2 2" xfId="2117"/>
    <cellStyle name="Accent4 3 3" xfId="2118"/>
    <cellStyle name="Accent4 4" xfId="2119"/>
    <cellStyle name="Accent4 4 2" xfId="2120"/>
    <cellStyle name="Accent4 5" xfId="2121"/>
    <cellStyle name="Accent4 5 2" xfId="2122"/>
    <cellStyle name="Accent4 6" xfId="2123"/>
    <cellStyle name="Accent5 2" xfId="2124"/>
    <cellStyle name="Accent5 2 2" xfId="2125"/>
    <cellStyle name="Accent5 2 3" xfId="2126"/>
    <cellStyle name="Accent5 2 4" xfId="2127"/>
    <cellStyle name="Accent5 2 5" xfId="2128"/>
    <cellStyle name="Accent5 3" xfId="2129"/>
    <cellStyle name="Accent5 3 2" xfId="2130"/>
    <cellStyle name="Accent5 3 3" xfId="2131"/>
    <cellStyle name="Accent5 4" xfId="2132"/>
    <cellStyle name="Accent5 5" xfId="2133"/>
    <cellStyle name="Accent6 2" xfId="2134"/>
    <cellStyle name="Accent6 2 2" xfId="2135"/>
    <cellStyle name="Accent6 2 2 2" xfId="2136"/>
    <cellStyle name="Accent6 2 3" xfId="2137"/>
    <cellStyle name="Accent6 2 3 2" xfId="2138"/>
    <cellStyle name="Accent6 2 4" xfId="2139"/>
    <cellStyle name="Accent6 2 4 2" xfId="2140"/>
    <cellStyle name="Accent6 2 5" xfId="2141"/>
    <cellStyle name="Accent6 2 6" xfId="2142"/>
    <cellStyle name="Accent6 2 7" xfId="2143"/>
    <cellStyle name="Accent6 3" xfId="2144"/>
    <cellStyle name="Accent6 3 2" xfId="2145"/>
    <cellStyle name="Accent6 3 2 2" xfId="2146"/>
    <cellStyle name="Accent6 3 3" xfId="2147"/>
    <cellStyle name="Accent6 4" xfId="2148"/>
    <cellStyle name="Accent6 4 2" xfId="2149"/>
    <cellStyle name="Accent6 5" xfId="2150"/>
    <cellStyle name="Accent6 5 2" xfId="2151"/>
    <cellStyle name="Accent6 6" xfId="2152"/>
    <cellStyle name="Bad 2" xfId="2153"/>
    <cellStyle name="Bad 2 2" xfId="2154"/>
    <cellStyle name="Bad 2 2 2" xfId="2155"/>
    <cellStyle name="Bad 2 3" xfId="2156"/>
    <cellStyle name="Bad 2 3 2" xfId="2157"/>
    <cellStyle name="Bad 2 4" xfId="2158"/>
    <cellStyle name="Bad 2 4 2" xfId="2159"/>
    <cellStyle name="Bad 2 5" xfId="2160"/>
    <cellStyle name="Bad 2 6" xfId="2161"/>
    <cellStyle name="Bad 2 7" xfId="2162"/>
    <cellStyle name="Bad 3" xfId="2163"/>
    <cellStyle name="Bad 3 2" xfId="2164"/>
    <cellStyle name="Bad 3 2 2" xfId="2165"/>
    <cellStyle name="Bad 3 3" xfId="2166"/>
    <cellStyle name="Bad 4" xfId="2167"/>
    <cellStyle name="Bad 4 2" xfId="2168"/>
    <cellStyle name="Bad 5" xfId="2169"/>
    <cellStyle name="Bad 5 2" xfId="2170"/>
    <cellStyle name="Bad 6" xfId="2171"/>
    <cellStyle name="Calculation 2" xfId="2172"/>
    <cellStyle name="Calculation 2 2" xfId="2173"/>
    <cellStyle name="Calculation 2 2 2" xfId="2174"/>
    <cellStyle name="Calculation 2 3" xfId="2175"/>
    <cellStyle name="Calculation 2 3 2" xfId="2176"/>
    <cellStyle name="Calculation 2 4" xfId="2177"/>
    <cellStyle name="Calculation 2 4 2" xfId="2178"/>
    <cellStyle name="Calculation 2 5" xfId="2179"/>
    <cellStyle name="Calculation 2 6" xfId="2180"/>
    <cellStyle name="Calculation 2 7" xfId="2181"/>
    <cellStyle name="Calculation 3" xfId="2182"/>
    <cellStyle name="Calculation 3 2" xfId="2183"/>
    <cellStyle name="Calculation 3 2 2" xfId="2184"/>
    <cellStyle name="Calculation 3 3" xfId="2185"/>
    <cellStyle name="Calculation 4" xfId="2186"/>
    <cellStyle name="Calculation 4 2" xfId="2187"/>
    <cellStyle name="Calculation 5" xfId="2188"/>
    <cellStyle name="Calculation 5 2" xfId="2189"/>
    <cellStyle name="Calculation 6" xfId="2190"/>
    <cellStyle name="Check Cell 2" xfId="2191"/>
    <cellStyle name="Check Cell 2 2" xfId="2192"/>
    <cellStyle name="Check Cell 2 3" xfId="2193"/>
    <cellStyle name="Check Cell 2 4" xfId="2194"/>
    <cellStyle name="Check Cell 2 5" xfId="2195"/>
    <cellStyle name="Check Cell 3" xfId="2196"/>
    <cellStyle name="Check Cell 3 2" xfId="2197"/>
    <cellStyle name="Check Cell 3 3" xfId="2198"/>
    <cellStyle name="Check Cell 4" xfId="2199"/>
    <cellStyle name="Check Cell 5" xfId="2200"/>
    <cellStyle name="Comma 2" xfId="2201"/>
    <cellStyle name="Comma 3" xfId="2202"/>
    <cellStyle name="Explanatory Text 2" xfId="2203"/>
    <cellStyle name="Explanatory Text 2 2" xfId="2204"/>
    <cellStyle name="Explanatory Text 2 3" xfId="2205"/>
    <cellStyle name="Explanatory Text 2 4" xfId="2206"/>
    <cellStyle name="Explanatory Text 2 5" xfId="2207"/>
    <cellStyle name="Explanatory Text 3" xfId="2208"/>
    <cellStyle name="Explanatory Text 3 2" xfId="2209"/>
    <cellStyle name="Explanatory Text 3 3" xfId="2210"/>
    <cellStyle name="Explanatory Text 4" xfId="2211"/>
    <cellStyle name="Explanatory Text 5" xfId="2212"/>
    <cellStyle name="Good 2" xfId="2213"/>
    <cellStyle name="Good 2 2" xfId="2214"/>
    <cellStyle name="Good 2 2 2" xfId="2215"/>
    <cellStyle name="Good 2 3" xfId="2216"/>
    <cellStyle name="Good 2 3 2" xfId="2217"/>
    <cellStyle name="Good 2 4" xfId="2218"/>
    <cellStyle name="Good 2 4 2" xfId="2219"/>
    <cellStyle name="Good 2 5" xfId="2220"/>
    <cellStyle name="Good 2 6" xfId="2221"/>
    <cellStyle name="Good 2 7" xfId="2222"/>
    <cellStyle name="Good 3" xfId="2223"/>
    <cellStyle name="Good 3 2" xfId="2224"/>
    <cellStyle name="Good 3 2 2" xfId="2225"/>
    <cellStyle name="Good 3 3" xfId="2226"/>
    <cellStyle name="Good 4" xfId="2227"/>
    <cellStyle name="Good 4 2" xfId="2228"/>
    <cellStyle name="Good 5" xfId="2229"/>
    <cellStyle name="Good 5 2" xfId="2230"/>
    <cellStyle name="Good 6" xfId="2231"/>
    <cellStyle name="Heading 1 2" xfId="2232"/>
    <cellStyle name="Heading 1 2 2" xfId="2233"/>
    <cellStyle name="Heading 1 2 2 2" xfId="2234"/>
    <cellStyle name="Heading 1 2 2 2 2" xfId="2235"/>
    <cellStyle name="Heading 1 2 2 2 2 2" xfId="2236"/>
    <cellStyle name="Heading 1 2 2 2 2 2 2" xfId="2237"/>
    <cellStyle name="Heading 1 2 2 2 2 3" xfId="2238"/>
    <cellStyle name="Heading 1 2 2 2 3" xfId="2239"/>
    <cellStyle name="Heading 1 2 2 3" xfId="2240"/>
    <cellStyle name="Heading 1 2 2 4" xfId="2241"/>
    <cellStyle name="Heading 1 2 2 4 2" xfId="2242"/>
    <cellStyle name="Heading 1 2 2 4 2 2" xfId="2243"/>
    <cellStyle name="Heading 1 2 2 4 3" xfId="2244"/>
    <cellStyle name="Heading 1 2 2 5" xfId="2245"/>
    <cellStyle name="Heading 1 2 2 5 2" xfId="2246"/>
    <cellStyle name="Heading 1 2 2 6" xfId="2247"/>
    <cellStyle name="Heading 1 2 3" xfId="2248"/>
    <cellStyle name="Heading 1 2 3 2" xfId="2249"/>
    <cellStyle name="Heading 1 2 3 2 2" xfId="2250"/>
    <cellStyle name="Heading 1 2 3 3" xfId="2251"/>
    <cellStyle name="Heading 1 2 4" xfId="2252"/>
    <cellStyle name="Heading 1 2 4 2" xfId="2253"/>
    <cellStyle name="Heading 1 2 4 2 2" xfId="2254"/>
    <cellStyle name="Heading 1 2 4 2 2 2" xfId="2255"/>
    <cellStyle name="Heading 1 2 4 2 3" xfId="2256"/>
    <cellStyle name="Heading 1 2 4 3" xfId="2257"/>
    <cellStyle name="Heading 1 2 5" xfId="2258"/>
    <cellStyle name="Heading 1 2 5 2" xfId="2259"/>
    <cellStyle name="Heading 1 2 5 2 2" xfId="2260"/>
    <cellStyle name="Heading 1 2 5 3" xfId="2261"/>
    <cellStyle name="Heading 1 2 6" xfId="2262"/>
    <cellStyle name="Heading 1 2 6 2" xfId="2263"/>
    <cellStyle name="Heading 1 2 7" xfId="2264"/>
    <cellStyle name="Heading 1 2 8" xfId="2265"/>
    <cellStyle name="Heading 1 2 9" xfId="2266"/>
    <cellStyle name="Heading 1 3" xfId="2267"/>
    <cellStyle name="Heading 1 3 2" xfId="2268"/>
    <cellStyle name="Heading 1 3 2 2" xfId="2269"/>
    <cellStyle name="Heading 1 3 2 2 2" xfId="2270"/>
    <cellStyle name="Heading 1 3 2 2 2 2" xfId="2271"/>
    <cellStyle name="Heading 1 3 2 2 2 2 2" xfId="2272"/>
    <cellStyle name="Heading 1 3 2 2 2 3" xfId="2273"/>
    <cellStyle name="Heading 1 3 2 2 3" xfId="2274"/>
    <cellStyle name="Heading 1 3 2 3" xfId="2275"/>
    <cellStyle name="Heading 1 3 2 4" xfId="2276"/>
    <cellStyle name="Heading 1 3 2 4 2" xfId="2277"/>
    <cellStyle name="Heading 1 3 2 4 2 2" xfId="2278"/>
    <cellStyle name="Heading 1 3 2 4 3" xfId="2279"/>
    <cellStyle name="Heading 1 3 3" xfId="2280"/>
    <cellStyle name="Heading 1 3 4" xfId="2281"/>
    <cellStyle name="Heading 1 3 4 2" xfId="2282"/>
    <cellStyle name="Heading 1 3 4 2 2" xfId="2283"/>
    <cellStyle name="Heading 1 3 4 2 2 2" xfId="2284"/>
    <cellStyle name="Heading 1 3 4 2 3" xfId="2285"/>
    <cellStyle name="Heading 1 3 4 3" xfId="2286"/>
    <cellStyle name="Heading 1 3 5" xfId="2287"/>
    <cellStyle name="Heading 1 3 5 2" xfId="2288"/>
    <cellStyle name="Heading 1 3 5 2 2" xfId="2289"/>
    <cellStyle name="Heading 1 3 5 3" xfId="2290"/>
    <cellStyle name="Heading 1 3 6" xfId="2291"/>
    <cellStyle name="Heading 1 3 6 2" xfId="2292"/>
    <cellStyle name="Heading 1 3 7" xfId="2293"/>
    <cellStyle name="Heading 1 4" xfId="2294"/>
    <cellStyle name="Heading 1 4 2" xfId="2295"/>
    <cellStyle name="Heading 1 5" xfId="2296"/>
    <cellStyle name="Heading 1 5 2" xfId="2297"/>
    <cellStyle name="Heading 1 6" xfId="2298"/>
    <cellStyle name="Heading 2 2" xfId="2299"/>
    <cellStyle name="Heading 2 2 2" xfId="2300"/>
    <cellStyle name="Heading 2 2 2 2" xfId="2301"/>
    <cellStyle name="Heading 2 2 2 2 2" xfId="2302"/>
    <cellStyle name="Heading 2 2 2 2 2 2" xfId="2303"/>
    <cellStyle name="Heading 2 2 2 2 2 2 2" xfId="2304"/>
    <cellStyle name="Heading 2 2 2 2 2 3" xfId="2305"/>
    <cellStyle name="Heading 2 2 2 2 3" xfId="2306"/>
    <cellStyle name="Heading 2 2 2 3" xfId="2307"/>
    <cellStyle name="Heading 2 2 2 4" xfId="2308"/>
    <cellStyle name="Heading 2 2 2 4 2" xfId="2309"/>
    <cellStyle name="Heading 2 2 2 4 2 2" xfId="2310"/>
    <cellStyle name="Heading 2 2 2 4 3" xfId="2311"/>
    <cellStyle name="Heading 2 2 2 5" xfId="2312"/>
    <cellStyle name="Heading 2 2 2 5 2" xfId="2313"/>
    <cellStyle name="Heading 2 2 2 6" xfId="2314"/>
    <cellStyle name="Heading 2 2 3" xfId="2315"/>
    <cellStyle name="Heading 2 2 3 2" xfId="2316"/>
    <cellStyle name="Heading 2 2 3 2 2" xfId="2317"/>
    <cellStyle name="Heading 2 2 3 3" xfId="2318"/>
    <cellStyle name="Heading 2 2 4" xfId="2319"/>
    <cellStyle name="Heading 2 2 4 2" xfId="2320"/>
    <cellStyle name="Heading 2 2 4 2 2" xfId="2321"/>
    <cellStyle name="Heading 2 2 4 2 2 2" xfId="2322"/>
    <cellStyle name="Heading 2 2 4 2 3" xfId="2323"/>
    <cellStyle name="Heading 2 2 4 3" xfId="2324"/>
    <cellStyle name="Heading 2 2 5" xfId="2325"/>
    <cellStyle name="Heading 2 2 5 2" xfId="2326"/>
    <cellStyle name="Heading 2 2 5 2 2" xfId="2327"/>
    <cellStyle name="Heading 2 2 5 3" xfId="2328"/>
    <cellStyle name="Heading 2 2 6" xfId="2329"/>
    <cellStyle name="Heading 2 2 6 2" xfId="2330"/>
    <cellStyle name="Heading 2 2 7" xfId="2331"/>
    <cellStyle name="Heading 2 2 8" xfId="2332"/>
    <cellStyle name="Heading 2 2 9" xfId="2333"/>
    <cellStyle name="Heading 2 3" xfId="2334"/>
    <cellStyle name="Heading 2 3 2" xfId="2335"/>
    <cellStyle name="Heading 2 3 2 2" xfId="2336"/>
    <cellStyle name="Heading 2 3 2 2 2" xfId="2337"/>
    <cellStyle name="Heading 2 3 2 2 2 2" xfId="2338"/>
    <cellStyle name="Heading 2 3 2 2 2 2 2" xfId="2339"/>
    <cellStyle name="Heading 2 3 2 2 2 3" xfId="2340"/>
    <cellStyle name="Heading 2 3 2 2 3" xfId="2341"/>
    <cellStyle name="Heading 2 3 2 3" xfId="2342"/>
    <cellStyle name="Heading 2 3 2 4" xfId="2343"/>
    <cellStyle name="Heading 2 3 2 4 2" xfId="2344"/>
    <cellStyle name="Heading 2 3 2 4 2 2" xfId="2345"/>
    <cellStyle name="Heading 2 3 2 4 3" xfId="2346"/>
    <cellStyle name="Heading 2 3 3" xfId="2347"/>
    <cellStyle name="Heading 2 3 4" xfId="2348"/>
    <cellStyle name="Heading 2 3 4 2" xfId="2349"/>
    <cellStyle name="Heading 2 3 4 2 2" xfId="2350"/>
    <cellStyle name="Heading 2 3 4 2 2 2" xfId="2351"/>
    <cellStyle name="Heading 2 3 4 2 3" xfId="2352"/>
    <cellStyle name="Heading 2 3 4 3" xfId="2353"/>
    <cellStyle name="Heading 2 3 5" xfId="2354"/>
    <cellStyle name="Heading 2 3 5 2" xfId="2355"/>
    <cellStyle name="Heading 2 3 5 2 2" xfId="2356"/>
    <cellStyle name="Heading 2 3 5 3" xfId="2357"/>
    <cellStyle name="Heading 2 3 6" xfId="2358"/>
    <cellStyle name="Heading 2 3 6 2" xfId="2359"/>
    <cellStyle name="Heading 2 3 7" xfId="2360"/>
    <cellStyle name="Heading 2 4" xfId="2361"/>
    <cellStyle name="Heading 2 4 2" xfId="2362"/>
    <cellStyle name="Heading 2 5" xfId="2363"/>
    <cellStyle name="Heading 2 5 2" xfId="2364"/>
    <cellStyle name="Heading 2 6" xfId="2365"/>
    <cellStyle name="Heading 3 2" xfId="2366"/>
    <cellStyle name="Heading 3 2 2" xfId="2367"/>
    <cellStyle name="Heading 3 2 2 2" xfId="2368"/>
    <cellStyle name="Heading 3 2 2 2 2" xfId="2369"/>
    <cellStyle name="Heading 3 2 2 2 2 2" xfId="2370"/>
    <cellStyle name="Heading 3 2 2 2 2 2 2" xfId="2371"/>
    <cellStyle name="Heading 3 2 2 2 2 3" xfId="2372"/>
    <cellStyle name="Heading 3 2 2 2 3" xfId="2373"/>
    <cellStyle name="Heading 3 2 2 3" xfId="2374"/>
    <cellStyle name="Heading 3 2 2 4" xfId="2375"/>
    <cellStyle name="Heading 3 2 2 4 2" xfId="2376"/>
    <cellStyle name="Heading 3 2 2 4 2 2" xfId="2377"/>
    <cellStyle name="Heading 3 2 2 4 3" xfId="2378"/>
    <cellStyle name="Heading 3 2 2 5" xfId="2379"/>
    <cellStyle name="Heading 3 2 2 5 2" xfId="2380"/>
    <cellStyle name="Heading 3 2 2 6" xfId="2381"/>
    <cellStyle name="Heading 3 2 3" xfId="2382"/>
    <cellStyle name="Heading 3 2 3 2" xfId="2383"/>
    <cellStyle name="Heading 3 2 3 2 2" xfId="2384"/>
    <cellStyle name="Heading 3 2 3 3" xfId="2385"/>
    <cellStyle name="Heading 3 2 4" xfId="2386"/>
    <cellStyle name="Heading 3 2 4 2" xfId="2387"/>
    <cellStyle name="Heading 3 2 4 2 2" xfId="2388"/>
    <cellStyle name="Heading 3 2 4 2 2 2" xfId="2389"/>
    <cellStyle name="Heading 3 2 4 2 3" xfId="2390"/>
    <cellStyle name="Heading 3 2 4 3" xfId="2391"/>
    <cellStyle name="Heading 3 2 5" xfId="2392"/>
    <cellStyle name="Heading 3 2 5 2" xfId="2393"/>
    <cellStyle name="Heading 3 2 5 2 2" xfId="2394"/>
    <cellStyle name="Heading 3 2 5 3" xfId="2395"/>
    <cellStyle name="Heading 3 2 6" xfId="2396"/>
    <cellStyle name="Heading 3 2 6 2" xfId="2397"/>
    <cellStyle name="Heading 3 2 7" xfId="2398"/>
    <cellStyle name="Heading 3 2 8" xfId="2399"/>
    <cellStyle name="Heading 3 2 9" xfId="2400"/>
    <cellStyle name="Heading 3 3" xfId="2401"/>
    <cellStyle name="Heading 3 3 2" xfId="2402"/>
    <cellStyle name="Heading 3 3 2 2" xfId="2403"/>
    <cellStyle name="Heading 3 3 2 2 2" xfId="2404"/>
    <cellStyle name="Heading 3 3 2 2 2 2" xfId="2405"/>
    <cellStyle name="Heading 3 3 2 2 2 2 2" xfId="2406"/>
    <cellStyle name="Heading 3 3 2 2 2 3" xfId="2407"/>
    <cellStyle name="Heading 3 3 2 2 3" xfId="2408"/>
    <cellStyle name="Heading 3 3 2 3" xfId="2409"/>
    <cellStyle name="Heading 3 3 2 4" xfId="2410"/>
    <cellStyle name="Heading 3 3 2 4 2" xfId="2411"/>
    <cellStyle name="Heading 3 3 2 4 2 2" xfId="2412"/>
    <cellStyle name="Heading 3 3 2 4 3" xfId="2413"/>
    <cellStyle name="Heading 3 3 3" xfId="2414"/>
    <cellStyle name="Heading 3 3 4" xfId="2415"/>
    <cellStyle name="Heading 3 3 4 2" xfId="2416"/>
    <cellStyle name="Heading 3 3 4 2 2" xfId="2417"/>
    <cellStyle name="Heading 3 3 4 2 2 2" xfId="2418"/>
    <cellStyle name="Heading 3 3 4 2 3" xfId="2419"/>
    <cellStyle name="Heading 3 3 4 3" xfId="2420"/>
    <cellStyle name="Heading 3 3 5" xfId="2421"/>
    <cellStyle name="Heading 3 3 5 2" xfId="2422"/>
    <cellStyle name="Heading 3 3 5 2 2" xfId="2423"/>
    <cellStyle name="Heading 3 3 5 3" xfId="2424"/>
    <cellStyle name="Heading 3 3 6" xfId="2425"/>
    <cellStyle name="Heading 3 3 6 2" xfId="2426"/>
    <cellStyle name="Heading 3 3 7" xfId="2427"/>
    <cellStyle name="Heading 3 4" xfId="2428"/>
    <cellStyle name="Heading 3 4 2" xfId="2429"/>
    <cellStyle name="Heading 3 5" xfId="2430"/>
    <cellStyle name="Heading 3 5 2" xfId="2431"/>
    <cellStyle name="Heading 3 6" xfId="2432"/>
    <cellStyle name="Heading 4 2" xfId="2433"/>
    <cellStyle name="Heading 4 2 2" xfId="2434"/>
    <cellStyle name="Heading 4 2 2 2" xfId="2435"/>
    <cellStyle name="Heading 4 2 2 2 2" xfId="2436"/>
    <cellStyle name="Heading 4 2 2 2 2 2" xfId="2437"/>
    <cellStyle name="Heading 4 2 2 2 2 2 2" xfId="2438"/>
    <cellStyle name="Heading 4 2 2 2 2 3" xfId="2439"/>
    <cellStyle name="Heading 4 2 2 2 3" xfId="2440"/>
    <cellStyle name="Heading 4 2 2 3" xfId="2441"/>
    <cellStyle name="Heading 4 2 2 4" xfId="2442"/>
    <cellStyle name="Heading 4 2 2 4 2" xfId="2443"/>
    <cellStyle name="Heading 4 2 2 4 2 2" xfId="2444"/>
    <cellStyle name="Heading 4 2 2 4 3" xfId="2445"/>
    <cellStyle name="Heading 4 2 2 5" xfId="2446"/>
    <cellStyle name="Heading 4 2 2 5 2" xfId="2447"/>
    <cellStyle name="Heading 4 2 2 6" xfId="2448"/>
    <cellStyle name="Heading 4 2 3" xfId="2449"/>
    <cellStyle name="Heading 4 2 3 2" xfId="2450"/>
    <cellStyle name="Heading 4 2 3 2 2" xfId="2451"/>
    <cellStyle name="Heading 4 2 3 3" xfId="2452"/>
    <cellStyle name="Heading 4 2 4" xfId="2453"/>
    <cellStyle name="Heading 4 2 4 2" xfId="2454"/>
    <cellStyle name="Heading 4 2 4 2 2" xfId="2455"/>
    <cellStyle name="Heading 4 2 4 2 2 2" xfId="2456"/>
    <cellStyle name="Heading 4 2 4 2 3" xfId="2457"/>
    <cellStyle name="Heading 4 2 4 3" xfId="2458"/>
    <cellStyle name="Heading 4 2 5" xfId="2459"/>
    <cellStyle name="Heading 4 2 5 2" xfId="2460"/>
    <cellStyle name="Heading 4 2 5 2 2" xfId="2461"/>
    <cellStyle name="Heading 4 2 5 3" xfId="2462"/>
    <cellStyle name="Heading 4 2 6" xfId="2463"/>
    <cellStyle name="Heading 4 2 6 2" xfId="2464"/>
    <cellStyle name="Heading 4 2 7" xfId="2465"/>
    <cellStyle name="Heading 4 2 8" xfId="2466"/>
    <cellStyle name="Heading 4 2 9" xfId="2467"/>
    <cellStyle name="Heading 4 3" xfId="2468"/>
    <cellStyle name="Heading 4 3 2" xfId="2469"/>
    <cellStyle name="Heading 4 3 2 2" xfId="2470"/>
    <cellStyle name="Heading 4 3 2 2 2" xfId="2471"/>
    <cellStyle name="Heading 4 3 2 2 2 2" xfId="2472"/>
    <cellStyle name="Heading 4 3 2 2 2 2 2" xfId="2473"/>
    <cellStyle name="Heading 4 3 2 2 2 3" xfId="2474"/>
    <cellStyle name="Heading 4 3 2 2 3" xfId="2475"/>
    <cellStyle name="Heading 4 3 2 3" xfId="2476"/>
    <cellStyle name="Heading 4 3 2 4" xfId="2477"/>
    <cellStyle name="Heading 4 3 2 4 2" xfId="2478"/>
    <cellStyle name="Heading 4 3 2 4 2 2" xfId="2479"/>
    <cellStyle name="Heading 4 3 2 4 3" xfId="2480"/>
    <cellStyle name="Heading 4 3 3" xfId="2481"/>
    <cellStyle name="Heading 4 3 4" xfId="2482"/>
    <cellStyle name="Heading 4 3 4 2" xfId="2483"/>
    <cellStyle name="Heading 4 3 4 2 2" xfId="2484"/>
    <cellStyle name="Heading 4 3 4 2 2 2" xfId="2485"/>
    <cellStyle name="Heading 4 3 4 2 3" xfId="2486"/>
    <cellStyle name="Heading 4 3 4 3" xfId="2487"/>
    <cellStyle name="Heading 4 3 5" xfId="2488"/>
    <cellStyle name="Heading 4 3 5 2" xfId="2489"/>
    <cellStyle name="Heading 4 3 5 2 2" xfId="2490"/>
    <cellStyle name="Heading 4 3 5 3" xfId="2491"/>
    <cellStyle name="Heading 4 3 6" xfId="2492"/>
    <cellStyle name="Heading 4 3 6 2" xfId="2493"/>
    <cellStyle name="Heading 4 3 7" xfId="2494"/>
    <cellStyle name="Heading 4 4" xfId="2495"/>
    <cellStyle name="Heading 4 4 2" xfId="2496"/>
    <cellStyle name="Heading 4 5" xfId="2497"/>
    <cellStyle name="Heading 4 5 2" xfId="2498"/>
    <cellStyle name="Heading 4 6" xfId="2499"/>
    <cellStyle name="Input 2" xfId="2500"/>
    <cellStyle name="Input 2 2" xfId="2501"/>
    <cellStyle name="Input 2 2 2" xfId="2502"/>
    <cellStyle name="Input 2 3" xfId="2503"/>
    <cellStyle name="Input 2 3 2" xfId="2504"/>
    <cellStyle name="Input 2 4" xfId="2505"/>
    <cellStyle name="Input 2 4 2" xfId="2506"/>
    <cellStyle name="Input 2 5" xfId="2507"/>
    <cellStyle name="Input 2 6" xfId="2508"/>
    <cellStyle name="Input 2 7" xfId="2509"/>
    <cellStyle name="Input 3" xfId="2510"/>
    <cellStyle name="Input 3 2" xfId="2511"/>
    <cellStyle name="Input 3 2 2" xfId="2512"/>
    <cellStyle name="Input 3 3" xfId="2513"/>
    <cellStyle name="Input 4" xfId="2514"/>
    <cellStyle name="Input 4 2" xfId="2515"/>
    <cellStyle name="Input 5" xfId="2516"/>
    <cellStyle name="Input 5 2" xfId="2517"/>
    <cellStyle name="Input 6" xfId="2518"/>
    <cellStyle name="Linked Cell 2" xfId="2519"/>
    <cellStyle name="Linked Cell 2 2" xfId="2520"/>
    <cellStyle name="Linked Cell 2 2 2" xfId="2521"/>
    <cellStyle name="Linked Cell 2 2 2 2" xfId="2522"/>
    <cellStyle name="Linked Cell 2 2 2 2 2" xfId="2523"/>
    <cellStyle name="Linked Cell 2 2 2 2 2 2" xfId="2524"/>
    <cellStyle name="Linked Cell 2 2 2 2 3" xfId="2525"/>
    <cellStyle name="Linked Cell 2 2 2 3" xfId="2526"/>
    <cellStyle name="Linked Cell 2 2 3" xfId="2527"/>
    <cellStyle name="Linked Cell 2 2 4" xfId="2528"/>
    <cellStyle name="Linked Cell 2 2 4 2" xfId="2529"/>
    <cellStyle name="Linked Cell 2 2 4 2 2" xfId="2530"/>
    <cellStyle name="Linked Cell 2 2 4 3" xfId="2531"/>
    <cellStyle name="Linked Cell 2 2 5" xfId="2532"/>
    <cellStyle name="Linked Cell 2 2 5 2" xfId="2533"/>
    <cellStyle name="Linked Cell 2 2 6" xfId="2534"/>
    <cellStyle name="Linked Cell 2 3" xfId="2535"/>
    <cellStyle name="Linked Cell 2 3 2" xfId="2536"/>
    <cellStyle name="Linked Cell 2 3 2 2" xfId="2537"/>
    <cellStyle name="Linked Cell 2 3 3" xfId="2538"/>
    <cellStyle name="Linked Cell 2 4" xfId="2539"/>
    <cellStyle name="Linked Cell 2 4 2" xfId="2540"/>
    <cellStyle name="Linked Cell 2 4 2 2" xfId="2541"/>
    <cellStyle name="Linked Cell 2 4 2 2 2" xfId="2542"/>
    <cellStyle name="Linked Cell 2 4 2 3" xfId="2543"/>
    <cellStyle name="Linked Cell 2 4 3" xfId="2544"/>
    <cellStyle name="Linked Cell 2 5" xfId="2545"/>
    <cellStyle name="Linked Cell 2 5 2" xfId="2546"/>
    <cellStyle name="Linked Cell 2 5 2 2" xfId="2547"/>
    <cellStyle name="Linked Cell 2 5 3" xfId="2548"/>
    <cellStyle name="Linked Cell 2 6" xfId="2549"/>
    <cellStyle name="Linked Cell 2 6 2" xfId="2550"/>
    <cellStyle name="Linked Cell 2 7" xfId="2551"/>
    <cellStyle name="Linked Cell 2 8" xfId="2552"/>
    <cellStyle name="Linked Cell 2 9" xfId="2553"/>
    <cellStyle name="Linked Cell 3" xfId="2554"/>
    <cellStyle name="Linked Cell 3 2" xfId="2555"/>
    <cellStyle name="Linked Cell 3 2 2" xfId="2556"/>
    <cellStyle name="Linked Cell 3 2 2 2" xfId="2557"/>
    <cellStyle name="Linked Cell 3 2 2 2 2" xfId="2558"/>
    <cellStyle name="Linked Cell 3 2 2 2 2 2" xfId="2559"/>
    <cellStyle name="Linked Cell 3 2 2 2 3" xfId="2560"/>
    <cellStyle name="Linked Cell 3 2 2 3" xfId="2561"/>
    <cellStyle name="Linked Cell 3 2 3" xfId="2562"/>
    <cellStyle name="Linked Cell 3 2 4" xfId="2563"/>
    <cellStyle name="Linked Cell 3 2 4 2" xfId="2564"/>
    <cellStyle name="Linked Cell 3 2 4 2 2" xfId="2565"/>
    <cellStyle name="Linked Cell 3 2 4 3" xfId="2566"/>
    <cellStyle name="Linked Cell 3 3" xfId="2567"/>
    <cellStyle name="Linked Cell 3 4" xfId="2568"/>
    <cellStyle name="Linked Cell 3 4 2" xfId="2569"/>
    <cellStyle name="Linked Cell 3 4 2 2" xfId="2570"/>
    <cellStyle name="Linked Cell 3 4 2 2 2" xfId="2571"/>
    <cellStyle name="Linked Cell 3 4 2 3" xfId="2572"/>
    <cellStyle name="Linked Cell 3 4 3" xfId="2573"/>
    <cellStyle name="Linked Cell 3 5" xfId="2574"/>
    <cellStyle name="Linked Cell 3 5 2" xfId="2575"/>
    <cellStyle name="Linked Cell 3 5 2 2" xfId="2576"/>
    <cellStyle name="Linked Cell 3 5 3" xfId="2577"/>
    <cellStyle name="Linked Cell 3 6" xfId="2578"/>
    <cellStyle name="Linked Cell 3 6 2" xfId="2579"/>
    <cellStyle name="Linked Cell 3 7" xfId="2580"/>
    <cellStyle name="Linked Cell 4" xfId="2581"/>
    <cellStyle name="Linked Cell 4 2" xfId="2582"/>
    <cellStyle name="Linked Cell 5" xfId="2583"/>
    <cellStyle name="Linked Cell 5 2" xfId="2584"/>
    <cellStyle name="Linked Cell 6" xfId="2585"/>
    <cellStyle name="Neutral 2" xfId="2586"/>
    <cellStyle name="Neutral 2 2" xfId="2587"/>
    <cellStyle name="Neutral 2 2 2" xfId="2588"/>
    <cellStyle name="Neutral 2 3" xfId="2589"/>
    <cellStyle name="Neutral 2 3 2" xfId="2590"/>
    <cellStyle name="Neutral 2 4" xfId="2591"/>
    <cellStyle name="Neutral 2 4 2" xfId="2592"/>
    <cellStyle name="Neutral 2 5" xfId="2593"/>
    <cellStyle name="Neutral 2 6" xfId="2594"/>
    <cellStyle name="Neutral 2 7" xfId="2595"/>
    <cellStyle name="Neutral 3" xfId="2596"/>
    <cellStyle name="Neutral 3 2" xfId="2597"/>
    <cellStyle name="Neutral 3 2 2" xfId="2598"/>
    <cellStyle name="Neutral 3 3" xfId="2599"/>
    <cellStyle name="Neutral 4" xfId="2600"/>
    <cellStyle name="Neutral 4 2" xfId="2601"/>
    <cellStyle name="Neutral 5" xfId="2602"/>
    <cellStyle name="Neutral 5 2" xfId="2603"/>
    <cellStyle name="Neutral 6" xfId="2604"/>
    <cellStyle name="Normal 10 4" xfId="2605"/>
    <cellStyle name="Normal 10 2" xfId="2606"/>
    <cellStyle name="Normal 10 3" xfId="2607"/>
    <cellStyle name="Normal 2 5 6" xfId="2608"/>
    <cellStyle name="Normal 2 6 5" xfId="2609"/>
    <cellStyle name="Normal 3 2 8" xfId="2610"/>
    <cellStyle name="Normal 4 2 3" xfId="2611"/>
    <cellStyle name="Normal 4 3 2" xfId="2612"/>
    <cellStyle name="Normal 4 3 2 2" xfId="2613"/>
    <cellStyle name="Normal 4 3 2 3" xfId="2614"/>
    <cellStyle name="Normal 5 8" xfId="2615"/>
    <cellStyle name="Normal 7 4 5" xfId="2616"/>
    <cellStyle name="Normal 9 6" xfId="2617"/>
    <cellStyle name="Note 2 9" xfId="2618"/>
    <cellStyle name="Note 2 2 6" xfId="2619"/>
    <cellStyle name="Note 2 2 2 3" xfId="2620"/>
    <cellStyle name="Note 2 2 2 2" xfId="2621"/>
    <cellStyle name="Note 2 2 2 2 2" xfId="2622"/>
    <cellStyle name="Note 2 2 3 3" xfId="2623"/>
    <cellStyle name="Note 2 2 3 2" xfId="2624"/>
    <cellStyle name="Note 2 2 4 3" xfId="2625"/>
    <cellStyle name="Note 2 2 4 2" xfId="2626"/>
    <cellStyle name="Note 2 2 5" xfId="2627"/>
    <cellStyle name="Note 2 3 3" xfId="2628"/>
    <cellStyle name="Note 2 3 2" xfId="2629"/>
    <cellStyle name="Note 2 3 2 2" xfId="2630"/>
    <cellStyle name="Note 2 4 3" xfId="2631"/>
    <cellStyle name="Note 2 4 2" xfId="2632"/>
    <cellStyle name="Note 2 4 2 2" xfId="2633"/>
    <cellStyle name="Note 2 5 3" xfId="2634"/>
    <cellStyle name="Note 2 5 2" xfId="2635"/>
    <cellStyle name="Note 2 6" xfId="2636"/>
    <cellStyle name="Note 2 6 2" xfId="2637"/>
    <cellStyle name="Note 2 7" xfId="2638"/>
    <cellStyle name="Note 2 8" xfId="2639"/>
    <cellStyle name="Note 3 7" xfId="2640"/>
    <cellStyle name="Note 3 2 5" xfId="2641"/>
    <cellStyle name="Note 3 2 2 2" xfId="2642"/>
    <cellStyle name="Note 3 3 3" xfId="2643"/>
    <cellStyle name="Note 3 3 2" xfId="2644"/>
    <cellStyle name="Note 3 3 2 2" xfId="2645"/>
    <cellStyle name="Note 3 4 3" xfId="2646"/>
    <cellStyle name="Note 3 4 2" xfId="2647"/>
    <cellStyle name="Note 3 5 3" xfId="2648"/>
    <cellStyle name="Note 3 5 2" xfId="2649"/>
    <cellStyle name="Note 3 6" xfId="2650"/>
    <cellStyle name="Note 4 7" xfId="2651"/>
    <cellStyle name="Note 4 2 6" xfId="2652"/>
    <cellStyle name="Note 4 2 2 5" xfId="2653"/>
    <cellStyle name="Note 4 2 2 2" xfId="2654"/>
    <cellStyle name="Note 4 2 2 2 2" xfId="2655"/>
    <cellStyle name="Note 4 2 2 2 2 2" xfId="2656"/>
    <cellStyle name="Note 4 2 2 2 2 3" xfId="2657"/>
    <cellStyle name="Note 4 2 2 2 3" xfId="2658"/>
    <cellStyle name="Note 4 2 2 2 3 2" xfId="2659"/>
    <cellStyle name="Note 4 2 2 2 4" xfId="2660"/>
    <cellStyle name="Note 4 2 2 3" xfId="2661"/>
    <cellStyle name="Note 4 2 2 3 2" xfId="2662"/>
    <cellStyle name="Note 4 2 2 4" xfId="2663"/>
    <cellStyle name="Note 4 2 3 3" xfId="2664"/>
    <cellStyle name="Note 4 2 3 2" xfId="2665"/>
    <cellStyle name="Note 4 2 4 5" xfId="2666"/>
    <cellStyle name="Note 4 2 4 2" xfId="2667"/>
    <cellStyle name="Note 4 2 4 2 2" xfId="2668"/>
    <cellStyle name="Note 4 2 4 2 3" xfId="2669"/>
    <cellStyle name="Note 4 2 4 3" xfId="2670"/>
    <cellStyle name="Note 4 2 4 3 2" xfId="2671"/>
    <cellStyle name="Note 4 2 4 4" xfId="2672"/>
    <cellStyle name="Note 4 2 5" xfId="2673"/>
    <cellStyle name="Note 4 3 3" xfId="2674"/>
    <cellStyle name="Note 4 3 2" xfId="2675"/>
    <cellStyle name="Note 4 4 5" xfId="2676"/>
    <cellStyle name="Note 4 4 2" xfId="2677"/>
    <cellStyle name="Note 4 4 2 2" xfId="2678"/>
    <cellStyle name="Note 4 4 2 2 2" xfId="2679"/>
    <cellStyle name="Note 4 4 2 2 3" xfId="2680"/>
    <cellStyle name="Note 4 4 2 3" xfId="2681"/>
    <cellStyle name="Note 4 4 2 3 2" xfId="2682"/>
    <cellStyle name="Note 4 4 2 4" xfId="2683"/>
    <cellStyle name="Note 4 4 3" xfId="2684"/>
    <cellStyle name="Note 4 4 3 2" xfId="2685"/>
    <cellStyle name="Note 4 4 4" xfId="2686"/>
    <cellStyle name="Note 4 5 5" xfId="2687"/>
    <cellStyle name="Note 4 5 2" xfId="2688"/>
    <cellStyle name="Note 4 5 2 2" xfId="2689"/>
    <cellStyle name="Note 4 5 2 3" xfId="2690"/>
    <cellStyle name="Note 4 5 3" xfId="2691"/>
    <cellStyle name="Note 4 5 3 2" xfId="2692"/>
    <cellStyle name="Note 4 5 4" xfId="2693"/>
    <cellStyle name="Note 4 6" xfId="2694"/>
    <cellStyle name="Note 5" xfId="2695"/>
    <cellStyle name="Note 5 2" xfId="2696"/>
    <cellStyle name="Note 6" xfId="2697"/>
    <cellStyle name="Note 6 2" xfId="2698"/>
    <cellStyle name="Note 7" xfId="2699"/>
    <cellStyle name="Note 7 2" xfId="2700"/>
    <cellStyle name="Note 8" xfId="2701"/>
    <cellStyle name="Note 9" xfId="2702"/>
    <cellStyle name="Output 2" xfId="2703"/>
    <cellStyle name="Output 2 2" xfId="2704"/>
    <cellStyle name="Output 2 2 2" xfId="2705"/>
    <cellStyle name="Output 2 3" xfId="2706"/>
    <cellStyle name="Output 2 3 2" xfId="2707"/>
    <cellStyle name="Output 2 4" xfId="2708"/>
    <cellStyle name="Output 2 4 2" xfId="2709"/>
    <cellStyle name="Output 2 5" xfId="2710"/>
    <cellStyle name="Output 2 6" xfId="2711"/>
    <cellStyle name="Output 2 7" xfId="2712"/>
    <cellStyle name="Output 3" xfId="2713"/>
    <cellStyle name="Output 3 2" xfId="2714"/>
    <cellStyle name="Output 3 2 2" xfId="2715"/>
    <cellStyle name="Output 3 3" xfId="2716"/>
    <cellStyle name="Output 4" xfId="2717"/>
    <cellStyle name="Output 4 2" xfId="2718"/>
    <cellStyle name="Output 5" xfId="2719"/>
    <cellStyle name="Output 5 2" xfId="2720"/>
    <cellStyle name="Output 6" xfId="2721"/>
    <cellStyle name="Title 2" xfId="2722"/>
    <cellStyle name="Title 2 2" xfId="2723"/>
    <cellStyle name="Title 2 2 2" xfId="2724"/>
    <cellStyle name="Title 2 2 2 2" xfId="2725"/>
    <cellStyle name="Title 2 2 2 2 2" xfId="2726"/>
    <cellStyle name="Title 2 2 2 2 2 2" xfId="2727"/>
    <cellStyle name="Title 2 2 2 2 3" xfId="2728"/>
    <cellStyle name="Title 2 2 2 3" xfId="2729"/>
    <cellStyle name="Title 2 2 3" xfId="2730"/>
    <cellStyle name="Title 2 2 4" xfId="2731"/>
    <cellStyle name="Title 2 2 4 2" xfId="2732"/>
    <cellStyle name="Title 2 2 4 2 2" xfId="2733"/>
    <cellStyle name="Title 2 2 4 3" xfId="2734"/>
    <cellStyle name="Title 2 2 5" xfId="2735"/>
    <cellStyle name="Title 2 2 5 2" xfId="2736"/>
    <cellStyle name="Title 2 2 6" xfId="2737"/>
    <cellStyle name="Title 2 3" xfId="2738"/>
    <cellStyle name="Title 2 3 2" xfId="2739"/>
    <cellStyle name="Title 2 3 2 2" xfId="2740"/>
    <cellStyle name="Title 2 3 3" xfId="2741"/>
    <cellStyle name="Title 2 4" xfId="2742"/>
    <cellStyle name="Title 2 4 2" xfId="2743"/>
    <cellStyle name="Title 2 4 2 2" xfId="2744"/>
    <cellStyle name="Title 2 4 2 2 2" xfId="2745"/>
    <cellStyle name="Title 2 4 2 3" xfId="2746"/>
    <cellStyle name="Title 2 4 3" xfId="2747"/>
    <cellStyle name="Title 2 5" xfId="2748"/>
    <cellStyle name="Title 2 5 2" xfId="2749"/>
    <cellStyle name="Title 2 5 2 2" xfId="2750"/>
    <cellStyle name="Title 2 5 3" xfId="2751"/>
    <cellStyle name="Title 2 6" xfId="2752"/>
    <cellStyle name="Title 2 6 2" xfId="2753"/>
    <cellStyle name="Title 2 7" xfId="2754"/>
    <cellStyle name="Title 2 8" xfId="2755"/>
    <cellStyle name="Title 2 9" xfId="2756"/>
    <cellStyle name="Title 3" xfId="2757"/>
    <cellStyle name="Title 3 2" xfId="2758"/>
    <cellStyle name="Title 3 2 2" xfId="2759"/>
    <cellStyle name="Title 3 2 2 2" xfId="2760"/>
    <cellStyle name="Title 3 2 2 2 2" xfId="2761"/>
    <cellStyle name="Title 3 2 2 2 2 2" xfId="2762"/>
    <cellStyle name="Title 3 2 2 2 3" xfId="2763"/>
    <cellStyle name="Title 3 2 2 3" xfId="2764"/>
    <cellStyle name="Title 3 2 3" xfId="2765"/>
    <cellStyle name="Title 3 2 4" xfId="2766"/>
    <cellStyle name="Title 3 2 4 2" xfId="2767"/>
    <cellStyle name="Title 3 2 4 2 2" xfId="2768"/>
    <cellStyle name="Title 3 2 4 3" xfId="2769"/>
    <cellStyle name="Title 3 3" xfId="2770"/>
    <cellStyle name="Title 3 4" xfId="2771"/>
    <cellStyle name="Title 3 4 2" xfId="2772"/>
    <cellStyle name="Title 3 4 2 2" xfId="2773"/>
    <cellStyle name="Title 3 4 2 2 2" xfId="2774"/>
    <cellStyle name="Title 3 4 2 3" xfId="2775"/>
    <cellStyle name="Title 3 4 3" xfId="2776"/>
    <cellStyle name="Title 3 5" xfId="2777"/>
    <cellStyle name="Title 3 5 2" xfId="2778"/>
    <cellStyle name="Title 3 5 2 2" xfId="2779"/>
    <cellStyle name="Title 3 5 3" xfId="2780"/>
    <cellStyle name="Title 3 6" xfId="2781"/>
    <cellStyle name="Title 3 6 2" xfId="2782"/>
    <cellStyle name="Title 3 7" xfId="2783"/>
    <cellStyle name="Title 4" xfId="2784"/>
    <cellStyle name="Title 4 2" xfId="2785"/>
    <cellStyle name="Title 5" xfId="2786"/>
    <cellStyle name="Title 5 2" xfId="2787"/>
    <cellStyle name="Title 6" xfId="2788"/>
    <cellStyle name="Total 2" xfId="2789"/>
    <cellStyle name="Total 2 2" xfId="2790"/>
    <cellStyle name="Total 2 2 2" xfId="2791"/>
    <cellStyle name="Total 2 3" xfId="2792"/>
    <cellStyle name="Total 2 3 2" xfId="2793"/>
    <cellStyle name="Total 2 4" xfId="2794"/>
    <cellStyle name="Total 2 4 2" xfId="2795"/>
    <cellStyle name="Total 2 5" xfId="2796"/>
    <cellStyle name="Total 2 6" xfId="2797"/>
    <cellStyle name="Total 2 7" xfId="2798"/>
    <cellStyle name="Total 3" xfId="2799"/>
    <cellStyle name="Total 3 2" xfId="2800"/>
    <cellStyle name="Total 3 2 2" xfId="2801"/>
    <cellStyle name="Total 3 3" xfId="2802"/>
    <cellStyle name="Total 4" xfId="2803"/>
    <cellStyle name="Total 4 2" xfId="2804"/>
    <cellStyle name="Total 5" xfId="2805"/>
    <cellStyle name="Total 5 2" xfId="2806"/>
    <cellStyle name="Total 6" xfId="2807"/>
    <cellStyle name="Warning Text 2" xfId="2808"/>
    <cellStyle name="Warning Text 2 2" xfId="2809"/>
    <cellStyle name="Warning Text 2 3" xfId="2810"/>
    <cellStyle name="Warning Text 2 4" xfId="2811"/>
    <cellStyle name="Warning Text 2 5" xfId="2812"/>
    <cellStyle name="Warning Text 3" xfId="2813"/>
    <cellStyle name="Warning Text 3 2" xfId="2814"/>
    <cellStyle name="Warning Text 3 3" xfId="2815"/>
    <cellStyle name="Warning Text 4" xfId="2816"/>
    <cellStyle name="Warning Text 5" xfId="2817"/>
    <cellStyle name="강조색1 2 5" xfId="2818"/>
    <cellStyle name="강조색1 2 2 2" xfId="2819"/>
    <cellStyle name="강조색1 3" xfId="2820"/>
    <cellStyle name="강조색1 3 2" xfId="2821"/>
    <cellStyle name="강조색2 2 5" xfId="2822"/>
    <cellStyle name="강조색2 2 2 2" xfId="2823"/>
    <cellStyle name="강조색2 3" xfId="2824"/>
    <cellStyle name="강조색2 3 2" xfId="2825"/>
    <cellStyle name="강조색3 2 5" xfId="2826"/>
    <cellStyle name="강조색3 2 2 2" xfId="2827"/>
    <cellStyle name="강조색3 3" xfId="2828"/>
    <cellStyle name="강조색3 3 2" xfId="2829"/>
    <cellStyle name="강조색4 2 5" xfId="2830"/>
    <cellStyle name="강조색4 2 2 2" xfId="2831"/>
    <cellStyle name="강조색4 3" xfId="2832"/>
    <cellStyle name="강조색4 3 2" xfId="2833"/>
    <cellStyle name="강조색5 2 5" xfId="2834"/>
    <cellStyle name="강조색5 3" xfId="2835"/>
    <cellStyle name="강조색6 2 5" xfId="2836"/>
    <cellStyle name="강조색6 2 2 2" xfId="2837"/>
    <cellStyle name="강조색6 3" xfId="2838"/>
    <cellStyle name="강조색6 3 2" xfId="2839"/>
    <cellStyle name="경고문 2 5" xfId="2840"/>
    <cellStyle name="경고문 3" xfId="2841"/>
    <cellStyle name="계산 2 5" xfId="2842"/>
    <cellStyle name="계산 2 2 2" xfId="2843"/>
    <cellStyle name="계산 3" xfId="2844"/>
    <cellStyle name="계산 3 2" xfId="2845"/>
    <cellStyle name="나쁨 2 5" xfId="2846"/>
    <cellStyle name="나쁨 2 2 2" xfId="2847"/>
    <cellStyle name="나쁨 3" xfId="2848"/>
    <cellStyle name="나쁨 3 2" xfId="2849"/>
    <cellStyle name="메모 2" xfId="2850"/>
    <cellStyle name="메모 2 2" xfId="2851"/>
    <cellStyle name="메모 2 2 2" xfId="2852"/>
    <cellStyle name="메모 2 3" xfId="2853"/>
    <cellStyle name="메모 3" xfId="2854"/>
    <cellStyle name="메모 3 2" xfId="2855"/>
    <cellStyle name="메모 3 2 2" xfId="2856"/>
    <cellStyle name="보통 2 5" xfId="2857"/>
    <cellStyle name="보통 2 2 2" xfId="2858"/>
    <cellStyle name="보통 3" xfId="2859"/>
    <cellStyle name="보통 3 2" xfId="2860"/>
    <cellStyle name="설명 텍스트 2 5" xfId="2861"/>
    <cellStyle name="설명 텍스트 3" xfId="2862"/>
    <cellStyle name="셀 확인 2 5" xfId="2863"/>
    <cellStyle name="셀 확인 3" xfId="2864"/>
    <cellStyle name="연결된 셀 2 5" xfId="2865"/>
    <cellStyle name="연결된 셀 2 2 2" xfId="2866"/>
    <cellStyle name="연결된 셀 3" xfId="2867"/>
    <cellStyle name="연결된 셀 3 2" xfId="2868"/>
    <cellStyle name="요약 2 5" xfId="2869"/>
    <cellStyle name="요약 2 2 2" xfId="2870"/>
    <cellStyle name="요약 3" xfId="2871"/>
    <cellStyle name="요약 3 2" xfId="2872"/>
    <cellStyle name="입력 2 5" xfId="2873"/>
    <cellStyle name="입력 2 2 2" xfId="2874"/>
    <cellStyle name="입력 3" xfId="2875"/>
    <cellStyle name="입력 3 2" xfId="2876"/>
    <cellStyle name="제목 1 2 5" xfId="2877"/>
    <cellStyle name="제목 1 2 2 2" xfId="2878"/>
    <cellStyle name="제목 1 3" xfId="2879"/>
    <cellStyle name="제목 1 3 2" xfId="2880"/>
    <cellStyle name="제목 2 2 5" xfId="2881"/>
    <cellStyle name="제목 2 2 2 2" xfId="2882"/>
    <cellStyle name="제목 2 3" xfId="2883"/>
    <cellStyle name="제목 2 3 2" xfId="2884"/>
    <cellStyle name="제목 3 2 5" xfId="2885"/>
    <cellStyle name="제목 3 2 2 2" xfId="2886"/>
    <cellStyle name="제목 3 3" xfId="2887"/>
    <cellStyle name="제목 3 3 2" xfId="2888"/>
    <cellStyle name="제목 4 2 5" xfId="2889"/>
    <cellStyle name="제목 4 2 2 2" xfId="2890"/>
    <cellStyle name="제목 4 3" xfId="2891"/>
    <cellStyle name="제목 4 3 2" xfId="2892"/>
    <cellStyle name="제목 5 5" xfId="2893"/>
    <cellStyle name="제목 5 2 2" xfId="2894"/>
    <cellStyle name="제목 6" xfId="2895"/>
    <cellStyle name="제목 6 2" xfId="2896"/>
    <cellStyle name="좋음 2 5" xfId="2897"/>
    <cellStyle name="좋음 2 2 2" xfId="2898"/>
    <cellStyle name="좋음 3" xfId="2899"/>
    <cellStyle name="좋음 3 2" xfId="2900"/>
    <cellStyle name="출력 2 5" xfId="2901"/>
    <cellStyle name="출력 2 2 2" xfId="2902"/>
    <cellStyle name="출력 3" xfId="2903"/>
    <cellStyle name="출력 3 2" xfId="2904"/>
    <cellStyle name="표준 11 4 3" xfId="2905"/>
    <cellStyle name="표준 11 4 2" xfId="2906"/>
    <cellStyle name="표준 12 3 3" xfId="2907"/>
    <cellStyle name="표준 12 3 2" xfId="2908"/>
    <cellStyle name="표준 18 2 5" xfId="2909"/>
    <cellStyle name="표준 2 10 2" xfId="2910"/>
    <cellStyle name="표준 2 3 3 5" xfId="2911"/>
    <cellStyle name="표준 2 4 3 3" xfId="2912"/>
    <cellStyle name="표준 2 4 3 2" xfId="2913"/>
    <cellStyle name="표준 2 5 2 2" xfId="2914"/>
    <cellStyle name="표준 2 5 2 3" xfId="2915"/>
    <cellStyle name="표준 2 5 2 4" xfId="2916"/>
    <cellStyle name="표준 2 5 5" xfId="2917"/>
    <cellStyle name="표준 2 5 6" xfId="2918"/>
    <cellStyle name="표준 2 5 7" xfId="2919"/>
    <cellStyle name="표준 2 5 8" xfId="2920"/>
    <cellStyle name="표준 2 6 5" xfId="2921"/>
    <cellStyle name="표준 2 6 6" xfId="2922"/>
    <cellStyle name="표준 2 6 7" xfId="2923"/>
    <cellStyle name="표준 2 6 8" xfId="2924"/>
    <cellStyle name="표준 2 7 5" xfId="2925"/>
    <cellStyle name="표준 2 8 3" xfId="2926"/>
    <cellStyle name="표준 2 8 4" xfId="2927"/>
    <cellStyle name="표준 3 2 6 2" xfId="2928"/>
    <cellStyle name="표준 3 3 5 2" xfId="2929"/>
    <cellStyle name="표준 3 4 2 5" xfId="2930"/>
    <cellStyle name="표준 3 4 3 5" xfId="2931"/>
    <cellStyle name="표준 3 4 4 2" xfId="2932"/>
    <cellStyle name="표준 4 2 4 2" xfId="2933"/>
    <cellStyle name="표준 5 2 2 2" xfId="2934"/>
    <cellStyle name="표준 51" xfId="2935"/>
    <cellStyle name="표준 52" xfId="2936"/>
    <cellStyle name="표준 6 5 2" xfId="2937"/>
    <cellStyle name="표준 8 4 5" xfId="2938"/>
    <cellStyle name="표준 8 5 2" xfId="2939"/>
    <cellStyle name="표준 9 4 5" xfId="2940"/>
    <cellStyle name="표준 63" xfId="2941"/>
    <cellStyle name="표준 62" xfId="2942"/>
    <cellStyle name="표준 54" xfId="2943"/>
    <cellStyle name="20% - Accent1 2 2 2 2 3" xfId="2944"/>
    <cellStyle name="20% - Accent1 2 2 3 2" xfId="2945"/>
    <cellStyle name="20% - Accent1 2 2 3 2 2" xfId="2946"/>
    <cellStyle name="20% - Accent1 2 2 3 3" xfId="2947"/>
    <cellStyle name="20% - Accent1 2 2 3 3 2" xfId="2948"/>
    <cellStyle name="20% - Accent1 2 2 3 4" xfId="2949"/>
    <cellStyle name="20% - Accent1 2 2 4 2" xfId="2950"/>
    <cellStyle name="20% - Accent1 2 2 5 4" xfId="2951"/>
    <cellStyle name="20% - Accent1 2 2 5 2" xfId="2952"/>
    <cellStyle name="20% - Accent1 2 2 6" xfId="2953"/>
    <cellStyle name="20% - Accent1 2 3 2 3" xfId="2954"/>
    <cellStyle name="20% - Accent1 2 4 2 3" xfId="2955"/>
    <cellStyle name="20% - Accent1 2 4 2 2" xfId="2956"/>
    <cellStyle name="20% - Accent1 2 4 3 3" xfId="2957"/>
    <cellStyle name="20% - Accent1 2 4 3 2" xfId="2958"/>
    <cellStyle name="20% - Accent1 2 4 4" xfId="2959"/>
    <cellStyle name="20% - Accent1 2 5 2 3" xfId="2960"/>
    <cellStyle name="20% - Accent1 2 6 4" xfId="2961"/>
    <cellStyle name="20% - Accent1 2 6 2" xfId="2962"/>
    <cellStyle name="20% - Accent1 2 7 3" xfId="2963"/>
    <cellStyle name="20% - Accent1 3 2 2 2 3" xfId="2964"/>
    <cellStyle name="20% - Accent1 3 2 3 2" xfId="2965"/>
    <cellStyle name="20% - Accent1 3 2 3 2 2" xfId="2966"/>
    <cellStyle name="20% - Accent1 3 2 3 3" xfId="2967"/>
    <cellStyle name="20% - Accent1 3 2 3 3 2" xfId="2968"/>
    <cellStyle name="20% - Accent1 3 2 3 4" xfId="2969"/>
    <cellStyle name="20% - Accent1 3 2 4 2" xfId="2970"/>
    <cellStyle name="20% - Accent1 3 2 5 4" xfId="2971"/>
    <cellStyle name="20% - Accent1 3 2 5 2" xfId="2972"/>
    <cellStyle name="20% - Accent1 3 2 6" xfId="2973"/>
    <cellStyle name="20% - Accent1 3 3 2 3" xfId="2974"/>
    <cellStyle name="20% - Accent1 3 4 2 3" xfId="2975"/>
    <cellStyle name="20% - Accent1 3 4 2 2" xfId="2976"/>
    <cellStyle name="20% - Accent1 3 4 3" xfId="2977"/>
    <cellStyle name="20% - Accent1 3 4 3 2" xfId="2978"/>
    <cellStyle name="20% - Accent1 3 4 4" xfId="2979"/>
    <cellStyle name="20% - Accent1 3 5 2" xfId="2980"/>
    <cellStyle name="20% - Accent1 3 6 4" xfId="2981"/>
    <cellStyle name="20% - Accent1 3 6 2" xfId="2982"/>
    <cellStyle name="20% - Accent1 3 7" xfId="2983"/>
    <cellStyle name="20% - Accent1 4 2 2 3" xfId="2984"/>
    <cellStyle name="20% - Accent1 4 3 2 3" xfId="2985"/>
    <cellStyle name="20% - Accent1 4 3 2 2" xfId="2986"/>
    <cellStyle name="20% - Accent1 4 3 3" xfId="2987"/>
    <cellStyle name="20% - Accent1 4 3 3 2" xfId="2988"/>
    <cellStyle name="20% - Accent1 4 3 4" xfId="2989"/>
    <cellStyle name="20% - Accent1 4 4 2" xfId="2990"/>
    <cellStyle name="20% - Accent1 4 5 4" xfId="2991"/>
    <cellStyle name="20% - Accent1 4 5 2" xfId="2992"/>
    <cellStyle name="20% - Accent1 4 6" xfId="2993"/>
    <cellStyle name="20% - Accent2 2 2 2 2 3" xfId="2994"/>
    <cellStyle name="20% - Accent2 2 2 3 2" xfId="2995"/>
    <cellStyle name="20% - Accent2 2 2 3 2 2" xfId="2996"/>
    <cellStyle name="20% - Accent2 2 2 3 3" xfId="2997"/>
    <cellStyle name="20% - Accent2 2 2 3 3 2" xfId="2998"/>
    <cellStyle name="20% - Accent2 2 2 3 4" xfId="2999"/>
    <cellStyle name="20% - Accent2 2 2 4 2" xfId="3000"/>
    <cellStyle name="20% - Accent2 2 2 5 4" xfId="3001"/>
    <cellStyle name="20% - Accent2 2 2 5 2" xfId="3002"/>
    <cellStyle name="20% - Accent2 2 2 6" xfId="3003"/>
    <cellStyle name="20% - Accent2 2 3 2 3" xfId="3004"/>
    <cellStyle name="20% - Accent2 2 4 2 3" xfId="3005"/>
    <cellStyle name="20% - Accent2 2 4 2 2" xfId="3006"/>
    <cellStyle name="20% - Accent2 2 4 3 3" xfId="3007"/>
    <cellStyle name="20% - Accent2 2 4 3 2" xfId="3008"/>
    <cellStyle name="20% - Accent2 2 4 4" xfId="3009"/>
    <cellStyle name="20% - Accent2 2 5 2 3" xfId="3010"/>
    <cellStyle name="20% - Accent2 2 6 4" xfId="3011"/>
    <cellStyle name="20% - Accent2 2 6 2" xfId="3012"/>
    <cellStyle name="20% - Accent2 2 7 3" xfId="3013"/>
    <cellStyle name="20% - Accent2 3 2 2 2 3" xfId="3014"/>
    <cellStyle name="20% - Accent2 3 2 3 2" xfId="3015"/>
    <cellStyle name="20% - Accent2 3 2 3 2 2" xfId="3016"/>
    <cellStyle name="20% - Accent2 3 2 3 3" xfId="3017"/>
    <cellStyle name="20% - Accent2 3 2 3 3 2" xfId="3018"/>
    <cellStyle name="20% - Accent2 3 2 3 4" xfId="3019"/>
    <cellStyle name="20% - Accent2 3 2 4 2" xfId="3020"/>
    <cellStyle name="20% - Accent2 3 2 5 4" xfId="3021"/>
    <cellStyle name="20% - Accent2 3 2 5 2" xfId="3022"/>
    <cellStyle name="20% - Accent2 3 2 6" xfId="3023"/>
    <cellStyle name="20% - Accent2 3 3 2 3" xfId="3024"/>
    <cellStyle name="20% - Accent2 3 4 2 3" xfId="3025"/>
    <cellStyle name="20% - Accent2 3 4 2 2" xfId="3026"/>
    <cellStyle name="20% - Accent2 3 4 3" xfId="3027"/>
    <cellStyle name="20% - Accent2 3 4 3 2" xfId="3028"/>
    <cellStyle name="20% - Accent2 3 4 4" xfId="3029"/>
    <cellStyle name="20% - Accent2 3 5 2" xfId="3030"/>
    <cellStyle name="20% - Accent2 3 6 4" xfId="3031"/>
    <cellStyle name="20% - Accent2 3 6 2" xfId="3032"/>
    <cellStyle name="20% - Accent2 3 7" xfId="3033"/>
    <cellStyle name="20% - Accent2 4 2 2 3" xfId="3034"/>
    <cellStyle name="20% - Accent2 4 3 2 3" xfId="3035"/>
    <cellStyle name="20% - Accent2 4 3 2 2" xfId="3036"/>
    <cellStyle name="20% - Accent2 4 3 3" xfId="3037"/>
    <cellStyle name="20% - Accent2 4 3 3 2" xfId="3038"/>
    <cellStyle name="20% - Accent2 4 3 4" xfId="3039"/>
    <cellStyle name="20% - Accent2 4 4 2" xfId="3040"/>
    <cellStyle name="20% - Accent2 4 5 4" xfId="3041"/>
    <cellStyle name="20% - Accent2 4 5 2" xfId="3042"/>
    <cellStyle name="20% - Accent2 4 6" xfId="3043"/>
    <cellStyle name="20% - Accent3 2 2 2 2 3" xfId="3044"/>
    <cellStyle name="20% - Accent3 2 2 3 2" xfId="3045"/>
    <cellStyle name="20% - Accent3 2 2 3 2 2" xfId="3046"/>
    <cellStyle name="20% - Accent3 2 2 3 3" xfId="3047"/>
    <cellStyle name="20% - Accent3 2 2 3 3 2" xfId="3048"/>
    <cellStyle name="20% - Accent3 2 2 3 4" xfId="3049"/>
    <cellStyle name="20% - Accent3 2 2 4 2" xfId="3050"/>
    <cellStyle name="20% - Accent3 2 2 5" xfId="3051"/>
    <cellStyle name="20% - Accent3 2 2 5 2" xfId="3052"/>
    <cellStyle name="20% - Accent3 2 2 6" xfId="3053"/>
    <cellStyle name="20% - Accent3 2 3 2 3" xfId="3054"/>
    <cellStyle name="20% - Accent3 2 4 2 3" xfId="3055"/>
    <cellStyle name="20% - Accent3 2 4 2 2" xfId="3056"/>
    <cellStyle name="20% - Accent3 2 4 3" xfId="3057"/>
    <cellStyle name="20% - Accent3 2 4 3 2" xfId="3058"/>
    <cellStyle name="20% - Accent3 2 4 4" xfId="3059"/>
    <cellStyle name="20% - Accent3 2 5 2 3" xfId="3060"/>
    <cellStyle name="20% - Accent3 2 6 4" xfId="3061"/>
    <cellStyle name="20% - Accent3 2 6 2" xfId="3062"/>
    <cellStyle name="20% - Accent3 2 7 2" xfId="3063"/>
    <cellStyle name="20% - Accent3 3 2 2 2 3" xfId="3064"/>
    <cellStyle name="20% - Accent3 3 2 3 2" xfId="3065"/>
    <cellStyle name="20% - Accent3 3 2 3 2 2" xfId="3066"/>
    <cellStyle name="20% - Accent3 3 2 3 3" xfId="3067"/>
    <cellStyle name="20% - Accent3 3 2 3 3 2" xfId="3068"/>
    <cellStyle name="20% - Accent3 3 2 3 4" xfId="3069"/>
    <cellStyle name="20% - Accent3 3 2 4 2" xfId="3070"/>
    <cellStyle name="20% - Accent3 3 2 5" xfId="3071"/>
    <cellStyle name="20% - Accent3 3 2 5 2" xfId="3072"/>
    <cellStyle name="20% - Accent3 3 2 6" xfId="3073"/>
    <cellStyle name="20% - Accent3 3 3 2 3" xfId="3074"/>
    <cellStyle name="20% - Accent3 3 4 2 3" xfId="3075"/>
    <cellStyle name="20% - Accent3 3 4 2 2" xfId="3076"/>
    <cellStyle name="20% - Accent3 3 4 3" xfId="3077"/>
    <cellStyle name="20% - Accent3 3 4 3 2" xfId="3078"/>
    <cellStyle name="20% - Accent3 3 4 4" xfId="3079"/>
    <cellStyle name="20% - Accent3 3 5 2" xfId="3080"/>
    <cellStyle name="20% - Accent3 3 6 4" xfId="3081"/>
    <cellStyle name="20% - Accent3 3 6 2" xfId="3082"/>
    <cellStyle name="20% - Accent3 3 7" xfId="3083"/>
    <cellStyle name="20% - Accent3 4 2 2 3" xfId="3084"/>
    <cellStyle name="20% - Accent3 4 3 2" xfId="3085"/>
    <cellStyle name="20% - Accent3 4 3 2 2" xfId="3086"/>
    <cellStyle name="20% - Accent3 4 3 3" xfId="3087"/>
    <cellStyle name="20% - Accent3 4 3 3 2" xfId="3088"/>
    <cellStyle name="20% - Accent3 4 3 4" xfId="3089"/>
    <cellStyle name="20% - Accent3 4 4 2" xfId="3090"/>
    <cellStyle name="20% - Accent3 4 5" xfId="3091"/>
    <cellStyle name="20% - Accent3 4 5 2" xfId="3092"/>
    <cellStyle name="20% - Accent3 4 6" xfId="3093"/>
    <cellStyle name="20% - Accent4 2 2 2 2 3" xfId="3094"/>
    <cellStyle name="20% - Accent4 2 2 3 2" xfId="3095"/>
    <cellStyle name="20% - Accent4 2 2 3 2 2" xfId="3096"/>
    <cellStyle name="20% - Accent4 2 2 3 3" xfId="3097"/>
    <cellStyle name="20% - Accent4 2 2 3 3 2" xfId="3098"/>
    <cellStyle name="20% - Accent4 2 2 3 4" xfId="3099"/>
    <cellStyle name="20% - Accent4 2 2 4 2" xfId="3100"/>
    <cellStyle name="20% - Accent4 2 2 5 4" xfId="3101"/>
    <cellStyle name="20% - Accent4 2 2 5 2" xfId="3102"/>
    <cellStyle name="20% - Accent4 2 2 6" xfId="3103"/>
    <cellStyle name="20% - Accent4 2 3 2 3" xfId="3104"/>
    <cellStyle name="20% - Accent4 2 4 2 3" xfId="3105"/>
    <cellStyle name="20% - Accent4 2 4 2 2" xfId="3106"/>
    <cellStyle name="20% - Accent4 2 4 3 3" xfId="3107"/>
    <cellStyle name="20% - Accent4 2 4 3 2" xfId="3108"/>
    <cellStyle name="20% - Accent4 2 4 4" xfId="3109"/>
    <cellStyle name="20% - Accent4 2 5 2 3" xfId="3110"/>
    <cellStyle name="20% - Accent4 2 6 4" xfId="3111"/>
    <cellStyle name="20% - Accent4 2 6 2" xfId="3112"/>
    <cellStyle name="20% - Accent4 2 7 3" xfId="3113"/>
    <cellStyle name="20% - Accent4 3 2 2 2 3" xfId="3114"/>
    <cellStyle name="20% - Accent4 3 2 3 2" xfId="3115"/>
    <cellStyle name="20% - Accent4 3 2 3 2 2" xfId="3116"/>
    <cellStyle name="20% - Accent4 3 2 3 3" xfId="3117"/>
    <cellStyle name="20% - Accent4 3 2 3 3 2" xfId="3118"/>
    <cellStyle name="20% - Accent4 3 2 3 4" xfId="3119"/>
    <cellStyle name="20% - Accent4 3 2 4 2" xfId="3120"/>
    <cellStyle name="20% - Accent4 3 2 5 4" xfId="3121"/>
    <cellStyle name="20% - Accent4 3 2 5 2" xfId="3122"/>
    <cellStyle name="20% - Accent4 3 2 6" xfId="3123"/>
    <cellStyle name="20% - Accent4 3 3 2 3" xfId="3124"/>
    <cellStyle name="20% - Accent4 3 4 2 3" xfId="3125"/>
    <cellStyle name="20% - Accent4 3 4 2 2" xfId="3126"/>
    <cellStyle name="20% - Accent4 3 4 3" xfId="3127"/>
    <cellStyle name="20% - Accent4 3 4 3 2" xfId="3128"/>
    <cellStyle name="20% - Accent4 3 4 4" xfId="3129"/>
    <cellStyle name="20% - Accent4 3 5 2" xfId="3130"/>
    <cellStyle name="20% - Accent4 3 6 4" xfId="3131"/>
    <cellStyle name="20% - Accent4 3 6 2" xfId="3132"/>
    <cellStyle name="20% - Accent4 3 7" xfId="3133"/>
    <cellStyle name="20% - Accent4 4 2 2 3" xfId="3134"/>
    <cellStyle name="20% - Accent4 4 3 2 3" xfId="3135"/>
    <cellStyle name="20% - Accent4 4 3 2 2" xfId="3136"/>
    <cellStyle name="20% - Accent4 4 3 3" xfId="3137"/>
    <cellStyle name="20% - Accent4 4 3 3 2" xfId="3138"/>
    <cellStyle name="20% - Accent4 4 3 4" xfId="3139"/>
    <cellStyle name="20% - Accent4 4 4 2" xfId="3140"/>
    <cellStyle name="20% - Accent4 4 5 4" xfId="3141"/>
    <cellStyle name="20% - Accent4 4 5 2" xfId="3142"/>
    <cellStyle name="20% - Accent4 4 6" xfId="3143"/>
    <cellStyle name="20% - Accent5 2 2 2 2" xfId="3144"/>
    <cellStyle name="20% - Accent5 2 2 3 2" xfId="3145"/>
    <cellStyle name="20% - Accent5 2 2 3 2 2" xfId="3146"/>
    <cellStyle name="20% - Accent5 2 2 3 3" xfId="3147"/>
    <cellStyle name="20% - Accent5 2 2 3 3 2" xfId="3148"/>
    <cellStyle name="20% - Accent5 2 2 3 4" xfId="3149"/>
    <cellStyle name="20% - Accent5 2 2 4 2" xfId="3150"/>
    <cellStyle name="20% - Accent5 2 2 5" xfId="3151"/>
    <cellStyle name="20% - Accent5 2 2 5 2" xfId="3152"/>
    <cellStyle name="20% - Accent5 2 2 6" xfId="3153"/>
    <cellStyle name="20% - Accent5 2 3 2" xfId="3154"/>
    <cellStyle name="20% - Accent5 2 4 2" xfId="3155"/>
    <cellStyle name="20% - Accent5 2 4 2 2" xfId="3156"/>
    <cellStyle name="20% - Accent5 2 4 3" xfId="3157"/>
    <cellStyle name="20% - Accent5 2 4 3 2" xfId="3158"/>
    <cellStyle name="20% - Accent5 2 4 4" xfId="3159"/>
    <cellStyle name="20% - Accent5 2 5 2 2" xfId="3160"/>
    <cellStyle name="20% - Accent5 2 6 2" xfId="3161"/>
    <cellStyle name="20% - Accent5 2 7" xfId="3162"/>
    <cellStyle name="20% - Accent5 3 2 2 2" xfId="3163"/>
    <cellStyle name="20% - Accent5 3 2 3 2" xfId="3164"/>
    <cellStyle name="20% - Accent5 3 2 3 2 2" xfId="3165"/>
    <cellStyle name="20% - Accent5 3 2 3 3" xfId="3166"/>
    <cellStyle name="20% - Accent5 3 2 3 3 2" xfId="3167"/>
    <cellStyle name="20% - Accent5 3 2 3 4" xfId="3168"/>
    <cellStyle name="20% - Accent5 3 2 4 2" xfId="3169"/>
    <cellStyle name="20% - Accent5 3 2 5" xfId="3170"/>
    <cellStyle name="20% - Accent5 3 2 5 2" xfId="3171"/>
    <cellStyle name="20% - Accent5 3 2 6" xfId="3172"/>
    <cellStyle name="20% - Accent5 3 3 2 2" xfId="3173"/>
    <cellStyle name="20% - Accent5 3 4 2" xfId="3174"/>
    <cellStyle name="20% - Accent5 3 4 2 2" xfId="3175"/>
    <cellStyle name="20% - Accent5 3 4 3" xfId="3176"/>
    <cellStyle name="20% - Accent5 3 4 3 2" xfId="3177"/>
    <cellStyle name="20% - Accent5 3 4 4" xfId="3178"/>
    <cellStyle name="20% - Accent5 3 5 2" xfId="3179"/>
    <cellStyle name="20% - Accent5 3 6" xfId="3180"/>
    <cellStyle name="20% - Accent5 3 6 2" xfId="3181"/>
    <cellStyle name="20% - Accent5 3 7" xfId="3182"/>
    <cellStyle name="20% - Accent5 4 2 2" xfId="3183"/>
    <cellStyle name="20% - Accent5 4 3 2" xfId="3184"/>
    <cellStyle name="20% - Accent5 4 3 2 2" xfId="3185"/>
    <cellStyle name="20% - Accent5 4 3 3" xfId="3186"/>
    <cellStyle name="20% - Accent5 4 3 3 2" xfId="3187"/>
    <cellStyle name="20% - Accent5 4 3 4" xfId="3188"/>
    <cellStyle name="20% - Accent5 4 4 2" xfId="3189"/>
    <cellStyle name="20% - Accent5 4 5" xfId="3190"/>
    <cellStyle name="20% - Accent5 4 5 2" xfId="3191"/>
    <cellStyle name="20% - Accent5 4 6" xfId="3192"/>
    <cellStyle name="20% - Accent6 2 2 2 2 3" xfId="3193"/>
    <cellStyle name="20% - Accent6 2 2 3 2" xfId="3194"/>
    <cellStyle name="20% - Accent6 2 2 3 2 2" xfId="3195"/>
    <cellStyle name="20% - Accent6 2 2 3 3" xfId="3196"/>
    <cellStyle name="20% - Accent6 2 2 3 3 2" xfId="3197"/>
    <cellStyle name="20% - Accent6 2 2 3 4" xfId="3198"/>
    <cellStyle name="20% - Accent6 2 2 4 2" xfId="3199"/>
    <cellStyle name="20% - Accent6 2 2 5 4" xfId="3200"/>
    <cellStyle name="20% - Accent6 2 2 5 2" xfId="3201"/>
    <cellStyle name="20% - Accent6 2 2 6" xfId="3202"/>
    <cellStyle name="20% - Accent6 2 3 2 3" xfId="3203"/>
    <cellStyle name="20% - Accent6 2 4 2 3" xfId="3204"/>
    <cellStyle name="20% - Accent6 2 4 2 2" xfId="3205"/>
    <cellStyle name="20% - Accent6 2 4 3 3" xfId="3206"/>
    <cellStyle name="20% - Accent6 2 4 3 2" xfId="3207"/>
    <cellStyle name="20% - Accent6 2 4 4" xfId="3208"/>
    <cellStyle name="20% - Accent6 2 5 2 3" xfId="3209"/>
    <cellStyle name="20% - Accent6 2 6 4" xfId="3210"/>
    <cellStyle name="20% - Accent6 2 6 2" xfId="3211"/>
    <cellStyle name="20% - Accent6 2 7 3" xfId="3212"/>
    <cellStyle name="20% - Accent6 3 2 2 2 3" xfId="3213"/>
    <cellStyle name="20% - Accent6 3 2 3 2" xfId="3214"/>
    <cellStyle name="20% - Accent6 3 2 3 2 2" xfId="3215"/>
    <cellStyle name="20% - Accent6 3 2 3 3" xfId="3216"/>
    <cellStyle name="20% - Accent6 3 2 3 3 2" xfId="3217"/>
    <cellStyle name="20% - Accent6 3 2 3 4" xfId="3218"/>
    <cellStyle name="20% - Accent6 3 2 4 2" xfId="3219"/>
    <cellStyle name="20% - Accent6 3 2 5 4" xfId="3220"/>
    <cellStyle name="20% - Accent6 3 2 5 2" xfId="3221"/>
    <cellStyle name="20% - Accent6 3 2 6" xfId="3222"/>
    <cellStyle name="20% - Accent6 3 3 2 3" xfId="3223"/>
    <cellStyle name="20% - Accent6 3 4 2 3" xfId="3224"/>
    <cellStyle name="20% - Accent6 3 4 2 2" xfId="3225"/>
    <cellStyle name="20% - Accent6 3 4 3" xfId="3226"/>
    <cellStyle name="20% - Accent6 3 4 3 2" xfId="3227"/>
    <cellStyle name="20% - Accent6 3 4 4" xfId="3228"/>
    <cellStyle name="20% - Accent6 3 5 2" xfId="3229"/>
    <cellStyle name="20% - Accent6 3 6 4" xfId="3230"/>
    <cellStyle name="20% - Accent6 3 6 2" xfId="3231"/>
    <cellStyle name="20% - Accent6 3 7" xfId="3232"/>
    <cellStyle name="20% - Accent6 4 2 2 3" xfId="3233"/>
    <cellStyle name="20% - Accent6 4 3 2 3" xfId="3234"/>
    <cellStyle name="20% - Accent6 4 3 2 2" xfId="3235"/>
    <cellStyle name="20% - Accent6 4 3 3" xfId="3236"/>
    <cellStyle name="20% - Accent6 4 3 3 2" xfId="3237"/>
    <cellStyle name="20% - Accent6 4 3 4" xfId="3238"/>
    <cellStyle name="20% - Accent6 4 4 2" xfId="3239"/>
    <cellStyle name="20% - Accent6 4 5 4" xfId="3240"/>
    <cellStyle name="20% - Accent6 4 5 2" xfId="3241"/>
    <cellStyle name="20% - Accent6 4 6" xfId="3242"/>
    <cellStyle name="20% - 강조색1 2 2 2 3" xfId="3243"/>
    <cellStyle name="20% - 강조색1 2 3 2" xfId="3244"/>
    <cellStyle name="20% - 강조색1 2 3 2 2" xfId="3245"/>
    <cellStyle name="20% - 강조색1 2 3 3" xfId="3246"/>
    <cellStyle name="20% - 강조색1 2 3 3 2" xfId="3247"/>
    <cellStyle name="20% - 강조색1 2 3 4" xfId="3248"/>
    <cellStyle name="20% - 강조색1 2 4 2" xfId="3249"/>
    <cellStyle name="20% - 강조색1 2 5 4" xfId="3250"/>
    <cellStyle name="20% - 강조색1 2 5 2" xfId="3251"/>
    <cellStyle name="20% - 강조색1 2 6" xfId="3252"/>
    <cellStyle name="20% - 강조색2 2 2 2 3" xfId="3253"/>
    <cellStyle name="20% - 강조색2 2 3 2" xfId="3254"/>
    <cellStyle name="20% - 강조색2 2 3 2 2" xfId="3255"/>
    <cellStyle name="20% - 강조색2 2 3 3" xfId="3256"/>
    <cellStyle name="20% - 강조색2 2 3 3 2" xfId="3257"/>
    <cellStyle name="20% - 강조색2 2 3 4" xfId="3258"/>
    <cellStyle name="20% - 강조색2 2 4 2" xfId="3259"/>
    <cellStyle name="20% - 강조색2 2 5 4" xfId="3260"/>
    <cellStyle name="20% - 강조색2 2 5 2" xfId="3261"/>
    <cellStyle name="20% - 강조색2 2 6" xfId="3262"/>
    <cellStyle name="20% - 강조색3 2 2 2 3" xfId="3263"/>
    <cellStyle name="20% - 강조색3 2 3 2" xfId="3264"/>
    <cellStyle name="20% - 강조색3 2 3 2 2" xfId="3265"/>
    <cellStyle name="20% - 강조색3 2 3 3" xfId="3266"/>
    <cellStyle name="20% - 강조색3 2 3 3 2" xfId="3267"/>
    <cellStyle name="20% - 강조색3 2 3 4" xfId="3268"/>
    <cellStyle name="20% - 강조색3 2 4 2" xfId="3269"/>
    <cellStyle name="20% - 강조색3 2 5 4" xfId="3270"/>
    <cellStyle name="20% - 강조색3 2 5 2" xfId="3271"/>
    <cellStyle name="20% - 강조색3 2 6" xfId="3272"/>
    <cellStyle name="20% - 강조색4 2 2 2 3" xfId="3273"/>
    <cellStyle name="20% - 강조색4 2 3 2" xfId="3274"/>
    <cellStyle name="20% - 강조색4 2 3 2 2" xfId="3275"/>
    <cellStyle name="20% - 강조색4 2 3 3" xfId="3276"/>
    <cellStyle name="20% - 강조색4 2 3 3 2" xfId="3277"/>
    <cellStyle name="20% - 강조색4 2 3 4" xfId="3278"/>
    <cellStyle name="20% - 강조색4 2 4 2" xfId="3279"/>
    <cellStyle name="20% - 강조색4 2 5 4" xfId="3280"/>
    <cellStyle name="20% - 강조색4 2 5 2" xfId="3281"/>
    <cellStyle name="20% - 강조색4 2 6" xfId="3282"/>
    <cellStyle name="20% - 강조색5 2 2 2" xfId="3283"/>
    <cellStyle name="20% - 강조색5 2 3 2" xfId="3284"/>
    <cellStyle name="20% - 강조색5 2 3 2 2" xfId="3285"/>
    <cellStyle name="20% - 강조색5 2 3 3" xfId="3286"/>
    <cellStyle name="20% - 강조색5 2 3 3 2" xfId="3287"/>
    <cellStyle name="20% - 강조색5 2 3 4" xfId="3288"/>
    <cellStyle name="20% - 강조색5 2 4 2" xfId="3289"/>
    <cellStyle name="20% - 강조색5 2 5 4" xfId="3290"/>
    <cellStyle name="20% - 강조색5 2 5 2" xfId="3291"/>
    <cellStyle name="20% - 강조색5 2 6" xfId="3292"/>
    <cellStyle name="20% - 강조색6 2 2 2 3" xfId="3293"/>
    <cellStyle name="20% - 강조색6 2 3 2" xfId="3294"/>
    <cellStyle name="20% - 강조색6 2 3 2 2" xfId="3295"/>
    <cellStyle name="20% - 강조색6 2 3 3" xfId="3296"/>
    <cellStyle name="20% - 강조색6 2 3 3 2" xfId="3297"/>
    <cellStyle name="20% - 강조색6 2 3 4" xfId="3298"/>
    <cellStyle name="20% - 강조색6 2 4 2" xfId="3299"/>
    <cellStyle name="20% - 강조색6 2 5 4" xfId="3300"/>
    <cellStyle name="20% - 강조색6 2 5 2" xfId="3301"/>
    <cellStyle name="20% - 강조색6 2 6" xfId="3302"/>
    <cellStyle name="40% - Accent1 2 2 2 2 3" xfId="3303"/>
    <cellStyle name="40% - Accent1 2 2 3 2" xfId="3304"/>
    <cellStyle name="40% - Accent1 2 2 3 2 2" xfId="3305"/>
    <cellStyle name="40% - Accent1 2 2 3 3" xfId="3306"/>
    <cellStyle name="40% - Accent1 2 2 3 3 2" xfId="3307"/>
    <cellStyle name="40% - Accent1 2 2 3 4" xfId="3308"/>
    <cellStyle name="40% - Accent1 2 2 4 2" xfId="3309"/>
    <cellStyle name="40% - Accent1 2 2 5 4" xfId="3310"/>
    <cellStyle name="40% - Accent1 2 2 5 2" xfId="3311"/>
    <cellStyle name="40% - Accent1 2 2 6" xfId="3312"/>
    <cellStyle name="40% - Accent1 2 3 2 3" xfId="3313"/>
    <cellStyle name="40% - Accent1 2 4 2 3" xfId="3314"/>
    <cellStyle name="40% - Accent1 2 4 2 2" xfId="3315"/>
    <cellStyle name="40% - Accent1 2 4 3 3" xfId="3316"/>
    <cellStyle name="40% - Accent1 2 4 3 2" xfId="3317"/>
    <cellStyle name="40% - Accent1 2 4 4" xfId="3318"/>
    <cellStyle name="40% - Accent1 2 5 2 3" xfId="3319"/>
    <cellStyle name="40% - Accent1 2 6 4" xfId="3320"/>
    <cellStyle name="40% - Accent1 2 6 2" xfId="3321"/>
    <cellStyle name="40% - Accent1 2 7 3" xfId="3322"/>
    <cellStyle name="40% - Accent1 3 2 2 2 3" xfId="3323"/>
    <cellStyle name="40% - Accent1 3 2 3 2" xfId="3324"/>
    <cellStyle name="40% - Accent1 3 2 3 2 2" xfId="3325"/>
    <cellStyle name="40% - Accent1 3 2 3 3" xfId="3326"/>
    <cellStyle name="40% - Accent1 3 2 3 3 2" xfId="3327"/>
    <cellStyle name="40% - Accent1 3 2 3 4" xfId="3328"/>
    <cellStyle name="40% - Accent1 3 2 4 2" xfId="3329"/>
    <cellStyle name="40% - Accent1 3 2 5 4" xfId="3330"/>
    <cellStyle name="40% - Accent1 3 2 5 2" xfId="3331"/>
    <cellStyle name="40% - Accent1 3 2 6" xfId="3332"/>
    <cellStyle name="40% - Accent1 3 3 2 3" xfId="3333"/>
    <cellStyle name="40% - Accent1 3 4 2 3" xfId="3334"/>
    <cellStyle name="40% - Accent1 3 4 2 2" xfId="3335"/>
    <cellStyle name="40% - Accent1 3 4 3" xfId="3336"/>
    <cellStyle name="40% - Accent1 3 4 3 2" xfId="3337"/>
    <cellStyle name="40% - Accent1 3 4 4" xfId="3338"/>
    <cellStyle name="40% - Accent1 3 5 2" xfId="3339"/>
    <cellStyle name="40% - Accent1 3 6 4" xfId="3340"/>
    <cellStyle name="40% - Accent1 3 6 2" xfId="3341"/>
    <cellStyle name="40% - Accent1 3 7" xfId="3342"/>
    <cellStyle name="40% - Accent1 4 2 2 3" xfId="3343"/>
    <cellStyle name="40% - Accent1 4 3 2 3" xfId="3344"/>
    <cellStyle name="40% - Accent1 4 3 2 2" xfId="3345"/>
    <cellStyle name="40% - Accent1 4 3 3" xfId="3346"/>
    <cellStyle name="40% - Accent1 4 3 3 2" xfId="3347"/>
    <cellStyle name="40% - Accent1 4 3 4" xfId="3348"/>
    <cellStyle name="40% - Accent1 4 4 2" xfId="3349"/>
    <cellStyle name="40% - Accent1 4 5 4" xfId="3350"/>
    <cellStyle name="40% - Accent1 4 5 2" xfId="3351"/>
    <cellStyle name="40% - Accent1 4 6" xfId="3352"/>
    <cellStyle name="40% - Accent2 2 2 2 2" xfId="3353"/>
    <cellStyle name="40% - Accent2 2 2 3 2" xfId="3354"/>
    <cellStyle name="40% - Accent2 2 2 3 2 2" xfId="3355"/>
    <cellStyle name="40% - Accent2 2 2 3 3" xfId="3356"/>
    <cellStyle name="40% - Accent2 2 2 3 3 2" xfId="3357"/>
    <cellStyle name="40% - Accent2 2 2 3 4" xfId="3358"/>
    <cellStyle name="40% - Accent2 2 2 4 2" xfId="3359"/>
    <cellStyle name="40% - Accent2 2 2 5" xfId="3360"/>
    <cellStyle name="40% - Accent2 2 2 5 2" xfId="3361"/>
    <cellStyle name="40% - Accent2 2 2 6" xfId="3362"/>
    <cellStyle name="40% - Accent2 2 3 2" xfId="3363"/>
    <cellStyle name="40% - Accent2 2 4 2" xfId="3364"/>
    <cellStyle name="40% - Accent2 2 4 2 2" xfId="3365"/>
    <cellStyle name="40% - Accent2 2 4 3" xfId="3366"/>
    <cellStyle name="40% - Accent2 2 4 3 2" xfId="3367"/>
    <cellStyle name="40% - Accent2 2 4 4" xfId="3368"/>
    <cellStyle name="40% - Accent2 2 5 2 2" xfId="3369"/>
    <cellStyle name="40% - Accent2 2 6 2" xfId="3370"/>
    <cellStyle name="40% - Accent2 2 7" xfId="3371"/>
    <cellStyle name="40% - Accent2 3 2 2 2" xfId="3372"/>
    <cellStyle name="40% - Accent2 3 2 3 2" xfId="3373"/>
    <cellStyle name="40% - Accent2 3 2 3 2 2" xfId="3374"/>
    <cellStyle name="40% - Accent2 3 2 3 3" xfId="3375"/>
    <cellStyle name="40% - Accent2 3 2 3 3 2" xfId="3376"/>
    <cellStyle name="40% - Accent2 3 2 3 4" xfId="3377"/>
    <cellStyle name="40% - Accent2 3 2 4 2" xfId="3378"/>
    <cellStyle name="40% - Accent2 3 2 5" xfId="3379"/>
    <cellStyle name="40% - Accent2 3 2 5 2" xfId="3380"/>
    <cellStyle name="40% - Accent2 3 2 6" xfId="3381"/>
    <cellStyle name="40% - Accent2 3 3 2 2" xfId="3382"/>
    <cellStyle name="40% - Accent2 3 4 2" xfId="3383"/>
    <cellStyle name="40% - Accent2 3 4 2 2" xfId="3384"/>
    <cellStyle name="40% - Accent2 3 4 3" xfId="3385"/>
    <cellStyle name="40% - Accent2 3 4 3 2" xfId="3386"/>
    <cellStyle name="40% - Accent2 3 4 4" xfId="3387"/>
    <cellStyle name="40% - Accent2 3 5 2" xfId="3388"/>
    <cellStyle name="40% - Accent2 3 6" xfId="3389"/>
    <cellStyle name="40% - Accent2 3 6 2" xfId="3390"/>
    <cellStyle name="40% - Accent2 3 7" xfId="3391"/>
    <cellStyle name="40% - Accent2 4 2 2" xfId="3392"/>
    <cellStyle name="40% - Accent2 4 3 2" xfId="3393"/>
    <cellStyle name="40% - Accent2 4 3 2 2" xfId="3394"/>
    <cellStyle name="40% - Accent2 4 3 3" xfId="3395"/>
    <cellStyle name="40% - Accent2 4 3 3 2" xfId="3396"/>
    <cellStyle name="40% - Accent2 4 3 4" xfId="3397"/>
    <cellStyle name="40% - Accent2 4 4 2" xfId="3398"/>
    <cellStyle name="40% - Accent2 4 5" xfId="3399"/>
    <cellStyle name="40% - Accent2 4 5 2" xfId="3400"/>
    <cellStyle name="40% - Accent2 4 6" xfId="3401"/>
    <cellStyle name="40% - Accent3 2 2 2 2 3" xfId="3402"/>
    <cellStyle name="40% - Accent3 2 2 3 2" xfId="3403"/>
    <cellStyle name="40% - Accent3 2 2 3 2 2" xfId="3404"/>
    <cellStyle name="40% - Accent3 2 2 3 3" xfId="3405"/>
    <cellStyle name="40% - Accent3 2 2 3 3 2" xfId="3406"/>
    <cellStyle name="40% - Accent3 2 2 3 4" xfId="3407"/>
    <cellStyle name="40% - Accent3 2 2 4 2" xfId="3408"/>
    <cellStyle name="40% - Accent3 2 2 5" xfId="3409"/>
    <cellStyle name="40% - Accent3 2 2 5 2" xfId="3410"/>
    <cellStyle name="40% - Accent3 2 2 6" xfId="3411"/>
    <cellStyle name="40% - Accent3 2 3 2 3" xfId="3412"/>
    <cellStyle name="40% - Accent3 2 4 2 3" xfId="3413"/>
    <cellStyle name="40% - Accent3 2 4 2 2" xfId="3414"/>
    <cellStyle name="40% - Accent3 2 4 3" xfId="3415"/>
    <cellStyle name="40% - Accent3 2 4 3 2" xfId="3416"/>
    <cellStyle name="40% - Accent3 2 4 4" xfId="3417"/>
    <cellStyle name="40% - Accent3 2 5 2 3" xfId="3418"/>
    <cellStyle name="40% - Accent3 2 6 4" xfId="3419"/>
    <cellStyle name="40% - Accent3 2 6 2" xfId="3420"/>
    <cellStyle name="40% - Accent3 2 7 2" xfId="3421"/>
    <cellStyle name="40% - Accent3 3 2 2 2 3" xfId="3422"/>
    <cellStyle name="40% - Accent3 3 2 3 2" xfId="3423"/>
    <cellStyle name="40% - Accent3 3 2 3 2 2" xfId="3424"/>
    <cellStyle name="40% - Accent3 3 2 3 3" xfId="3425"/>
    <cellStyle name="40% - Accent3 3 2 3 3 2" xfId="3426"/>
    <cellStyle name="40% - Accent3 3 2 3 4" xfId="3427"/>
    <cellStyle name="40% - Accent3 3 2 4 2" xfId="3428"/>
    <cellStyle name="40% - Accent3 3 2 5" xfId="3429"/>
    <cellStyle name="40% - Accent3 3 2 5 2" xfId="3430"/>
    <cellStyle name="40% - Accent3 3 2 6" xfId="3431"/>
    <cellStyle name="40% - Accent3 3 3 2 3" xfId="3432"/>
    <cellStyle name="40% - Accent3 3 4 2 3" xfId="3433"/>
    <cellStyle name="40% - Accent3 3 4 2 2" xfId="3434"/>
    <cellStyle name="40% - Accent3 3 4 3" xfId="3435"/>
    <cellStyle name="40% - Accent3 3 4 3 2" xfId="3436"/>
    <cellStyle name="40% - Accent3 3 4 4" xfId="3437"/>
    <cellStyle name="40% - Accent3 3 5 2" xfId="3438"/>
    <cellStyle name="40% - Accent3 3 6 4" xfId="3439"/>
    <cellStyle name="40% - Accent3 3 6 2" xfId="3440"/>
    <cellStyle name="40% - Accent3 3 7" xfId="3441"/>
    <cellStyle name="40% - Accent3 4 2 2 3" xfId="3442"/>
    <cellStyle name="40% - Accent3 4 3 2" xfId="3443"/>
    <cellStyle name="40% - Accent3 4 3 2 2" xfId="3444"/>
    <cellStyle name="40% - Accent3 4 3 3" xfId="3445"/>
    <cellStyle name="40% - Accent3 4 3 3 2" xfId="3446"/>
    <cellStyle name="40% - Accent3 4 3 4" xfId="3447"/>
    <cellStyle name="40% - Accent3 4 4 2" xfId="3448"/>
    <cellStyle name="40% - Accent3 4 5" xfId="3449"/>
    <cellStyle name="40% - Accent3 4 5 2" xfId="3450"/>
    <cellStyle name="40% - Accent3 4 6" xfId="3451"/>
    <cellStyle name="40% - Accent4 2 2 2 2 3" xfId="3452"/>
    <cellStyle name="40% - Accent4 2 2 3 2" xfId="3453"/>
    <cellStyle name="40% - Accent4 2 2 3 2 2" xfId="3454"/>
    <cellStyle name="40% - Accent4 2 2 3 3" xfId="3455"/>
    <cellStyle name="40% - Accent4 2 2 3 3 2" xfId="3456"/>
    <cellStyle name="40% - Accent4 2 2 3 4" xfId="3457"/>
    <cellStyle name="40% - Accent4 2 2 4 2" xfId="3458"/>
    <cellStyle name="40% - Accent4 2 2 5 4" xfId="3459"/>
    <cellStyle name="40% - Accent4 2 2 5 2" xfId="3460"/>
    <cellStyle name="40% - Accent4 2 2 6" xfId="3461"/>
    <cellStyle name="40% - Accent4 2 3 2 3" xfId="3462"/>
    <cellStyle name="40% - Accent4 2 4 2 3" xfId="3463"/>
    <cellStyle name="40% - Accent4 2 4 2 2" xfId="3464"/>
    <cellStyle name="40% - Accent4 2 4 3 3" xfId="3465"/>
    <cellStyle name="40% - Accent4 2 4 3 2" xfId="3466"/>
    <cellStyle name="40% - Accent4 2 4 4" xfId="3467"/>
    <cellStyle name="40% - Accent4 2 5 2 3" xfId="3468"/>
    <cellStyle name="40% - Accent4 2 6 4" xfId="3469"/>
    <cellStyle name="40% - Accent4 2 6 2" xfId="3470"/>
    <cellStyle name="40% - Accent4 2 7 3" xfId="3471"/>
    <cellStyle name="40% - Accent4 3 2 2 2 3" xfId="3472"/>
    <cellStyle name="40% - Accent4 3 2 3 2" xfId="3473"/>
    <cellStyle name="40% - Accent4 3 2 3 2 2" xfId="3474"/>
    <cellStyle name="40% - Accent4 3 2 3 3" xfId="3475"/>
    <cellStyle name="40% - Accent4 3 2 3 3 2" xfId="3476"/>
    <cellStyle name="40% - Accent4 3 2 3 4" xfId="3477"/>
    <cellStyle name="40% - Accent4 3 2 4 2" xfId="3478"/>
    <cellStyle name="40% - Accent4 3 2 5 4" xfId="3479"/>
    <cellStyle name="40% - Accent4 3 2 5 2" xfId="3480"/>
    <cellStyle name="40% - Accent4 3 2 6" xfId="3481"/>
    <cellStyle name="40% - Accent4 3 3 2 3" xfId="3482"/>
    <cellStyle name="40% - Accent4 3 4 2 3" xfId="3483"/>
    <cellStyle name="40% - Accent4 3 4 2 2" xfId="3484"/>
    <cellStyle name="40% - Accent4 3 4 3" xfId="3485"/>
    <cellStyle name="40% - Accent4 3 4 3 2" xfId="3486"/>
    <cellStyle name="40% - Accent4 3 4 4" xfId="3487"/>
    <cellStyle name="40% - Accent4 3 5 2" xfId="3488"/>
    <cellStyle name="40% - Accent4 3 6 4" xfId="3489"/>
    <cellStyle name="40% - Accent4 3 6 2" xfId="3490"/>
    <cellStyle name="40% - Accent4 3 7" xfId="3491"/>
    <cellStyle name="40% - Accent4 4 2 2 3" xfId="3492"/>
    <cellStyle name="40% - Accent4 4 3 2 3" xfId="3493"/>
    <cellStyle name="40% - Accent4 4 3 2 2" xfId="3494"/>
    <cellStyle name="40% - Accent4 4 3 3" xfId="3495"/>
    <cellStyle name="40% - Accent4 4 3 3 2" xfId="3496"/>
    <cellStyle name="40% - Accent4 4 3 4" xfId="3497"/>
    <cellStyle name="40% - Accent4 4 4 2" xfId="3498"/>
    <cellStyle name="40% - Accent4 4 5 4" xfId="3499"/>
    <cellStyle name="40% - Accent4 4 5 2" xfId="3500"/>
    <cellStyle name="40% - Accent4 4 6" xfId="3501"/>
    <cellStyle name="40% - Accent5 2 2 2 2 3" xfId="3502"/>
    <cellStyle name="40% - Accent5 2 2 3 2" xfId="3503"/>
    <cellStyle name="40% - Accent5 2 2 3 2 2" xfId="3504"/>
    <cellStyle name="40% - Accent5 2 2 3 3" xfId="3505"/>
    <cellStyle name="40% - Accent5 2 2 3 3 2" xfId="3506"/>
    <cellStyle name="40% - Accent5 2 2 3 4" xfId="3507"/>
    <cellStyle name="40% - Accent5 2 2 4 2" xfId="3508"/>
    <cellStyle name="40% - Accent5 2 2 5 4" xfId="3509"/>
    <cellStyle name="40% - Accent5 2 2 5 2" xfId="3510"/>
    <cellStyle name="40% - Accent5 2 2 6" xfId="3511"/>
    <cellStyle name="40% - Accent5 2 3 2 3" xfId="3512"/>
    <cellStyle name="40% - Accent5 2 4 2 3" xfId="3513"/>
    <cellStyle name="40% - Accent5 2 4 2 2" xfId="3514"/>
    <cellStyle name="40% - Accent5 2 4 3 3" xfId="3515"/>
    <cellStyle name="40% - Accent5 2 4 3 2" xfId="3516"/>
    <cellStyle name="40% - Accent5 2 4 4" xfId="3517"/>
    <cellStyle name="40% - Accent5 2 5 2 3" xfId="3518"/>
    <cellStyle name="40% - Accent5 2 6 4" xfId="3519"/>
    <cellStyle name="40% - Accent5 2 6 2" xfId="3520"/>
    <cellStyle name="40% - Accent5 2 7 3" xfId="3521"/>
    <cellStyle name="40% - Accent5 3 2 2 2 3" xfId="3522"/>
    <cellStyle name="40% - Accent5 3 2 3 2" xfId="3523"/>
    <cellStyle name="40% - Accent5 3 2 3 2 2" xfId="3524"/>
    <cellStyle name="40% - Accent5 3 2 3 3" xfId="3525"/>
    <cellStyle name="40% - Accent5 3 2 3 3 2" xfId="3526"/>
    <cellStyle name="40% - Accent5 3 2 3 4" xfId="3527"/>
    <cellStyle name="40% - Accent5 3 2 4 2" xfId="3528"/>
    <cellStyle name="40% - Accent5 3 2 5 4" xfId="3529"/>
    <cellStyle name="40% - Accent5 3 2 5 2" xfId="3530"/>
    <cellStyle name="40% - Accent5 3 2 6" xfId="3531"/>
    <cellStyle name="40% - Accent5 3 3 2 3" xfId="3532"/>
    <cellStyle name="40% - Accent5 3 4 2 3" xfId="3533"/>
    <cellStyle name="40% - Accent5 3 4 2 2" xfId="3534"/>
    <cellStyle name="40% - Accent5 3 4 3" xfId="3535"/>
    <cellStyle name="40% - Accent5 3 4 3 2" xfId="3536"/>
    <cellStyle name="40% - Accent5 3 4 4" xfId="3537"/>
    <cellStyle name="40% - Accent5 3 5 2" xfId="3538"/>
    <cellStyle name="40% - Accent5 3 6 4" xfId="3539"/>
    <cellStyle name="40% - Accent5 3 6 2" xfId="3540"/>
    <cellStyle name="40% - Accent5 3 7" xfId="3541"/>
    <cellStyle name="40% - Accent5 4 2 2 3" xfId="3542"/>
    <cellStyle name="40% - Accent5 4 3 2 3" xfId="3543"/>
    <cellStyle name="40% - Accent5 4 3 2 2" xfId="3544"/>
    <cellStyle name="40% - Accent5 4 3 3" xfId="3545"/>
    <cellStyle name="40% - Accent5 4 3 3 2" xfId="3546"/>
    <cellStyle name="40% - Accent5 4 3 4" xfId="3547"/>
    <cellStyle name="40% - Accent5 4 4 2" xfId="3548"/>
    <cellStyle name="40% - Accent5 4 5 4" xfId="3549"/>
    <cellStyle name="40% - Accent5 4 5 2" xfId="3550"/>
    <cellStyle name="40% - Accent5 4 6" xfId="3551"/>
    <cellStyle name="40% - Accent6 2 2 2 2 3" xfId="3552"/>
    <cellStyle name="40% - Accent6 2 2 3 2" xfId="3553"/>
    <cellStyle name="40% - Accent6 2 2 3 2 2" xfId="3554"/>
    <cellStyle name="40% - Accent6 2 2 3 3" xfId="3555"/>
    <cellStyle name="40% - Accent6 2 2 3 3 2" xfId="3556"/>
    <cellStyle name="40% - Accent6 2 2 3 4" xfId="3557"/>
    <cellStyle name="40% - Accent6 2 2 4 2" xfId="3558"/>
    <cellStyle name="40% - Accent6 2 2 5 4" xfId="3559"/>
    <cellStyle name="40% - Accent6 2 2 5 2" xfId="3560"/>
    <cellStyle name="40% - Accent6 2 2 6" xfId="3561"/>
    <cellStyle name="40% - Accent6 2 3 2 3" xfId="3562"/>
    <cellStyle name="40% - Accent6 2 4 2 3" xfId="3563"/>
    <cellStyle name="40% - Accent6 2 4 2 2" xfId="3564"/>
    <cellStyle name="40% - Accent6 2 4 3 3" xfId="3565"/>
    <cellStyle name="40% - Accent6 2 4 3 2" xfId="3566"/>
    <cellStyle name="40% - Accent6 2 4 4" xfId="3567"/>
    <cellStyle name="40% - Accent6 2 5 2 3" xfId="3568"/>
    <cellStyle name="40% - Accent6 2 6 4" xfId="3569"/>
    <cellStyle name="40% - Accent6 2 6 2" xfId="3570"/>
    <cellStyle name="40% - Accent6 2 7 3" xfId="3571"/>
    <cellStyle name="40% - Accent6 3 2 2 2 3" xfId="3572"/>
    <cellStyle name="40% - Accent6 3 2 3 2" xfId="3573"/>
    <cellStyle name="40% - Accent6 3 2 3 2 2" xfId="3574"/>
    <cellStyle name="40% - Accent6 3 2 3 3" xfId="3575"/>
    <cellStyle name="40% - Accent6 3 2 3 3 2" xfId="3576"/>
    <cellStyle name="40% - Accent6 3 2 3 4" xfId="3577"/>
    <cellStyle name="40% - Accent6 3 2 4 2" xfId="3578"/>
    <cellStyle name="40% - Accent6 3 2 5 4" xfId="3579"/>
    <cellStyle name="40% - Accent6 3 2 5 2" xfId="3580"/>
    <cellStyle name="40% - Accent6 3 2 6" xfId="3581"/>
    <cellStyle name="40% - Accent6 3 3 2 3" xfId="3582"/>
    <cellStyle name="40% - Accent6 3 4 2 3" xfId="3583"/>
    <cellStyle name="40% - Accent6 3 4 2 2" xfId="3584"/>
    <cellStyle name="40% - Accent6 3 4 3" xfId="3585"/>
    <cellStyle name="40% - Accent6 3 4 3 2" xfId="3586"/>
    <cellStyle name="40% - Accent6 3 4 4" xfId="3587"/>
    <cellStyle name="40% - Accent6 3 5 2" xfId="3588"/>
    <cellStyle name="40% - Accent6 3 6 4" xfId="3589"/>
    <cellStyle name="40% - Accent6 3 6 2" xfId="3590"/>
    <cellStyle name="40% - Accent6 3 7" xfId="3591"/>
    <cellStyle name="40% - Accent6 4 2 2 3" xfId="3592"/>
    <cellStyle name="40% - Accent6 4 3 2 3" xfId="3593"/>
    <cellStyle name="40% - Accent6 4 3 2 2" xfId="3594"/>
    <cellStyle name="40% - Accent6 4 3 3" xfId="3595"/>
    <cellStyle name="40% - Accent6 4 3 3 2" xfId="3596"/>
    <cellStyle name="40% - Accent6 4 3 4" xfId="3597"/>
    <cellStyle name="40% - Accent6 4 4 2" xfId="3598"/>
    <cellStyle name="40% - Accent6 4 5 4" xfId="3599"/>
    <cellStyle name="40% - Accent6 4 5 2" xfId="3600"/>
    <cellStyle name="40% - Accent6 4 6" xfId="3601"/>
    <cellStyle name="40% - 강조색1 2 2 2 3" xfId="3602"/>
    <cellStyle name="40% - 강조색1 2 3 2" xfId="3603"/>
    <cellStyle name="40% - 강조색1 2 3 2 2" xfId="3604"/>
    <cellStyle name="40% - 강조색1 2 3 3" xfId="3605"/>
    <cellStyle name="40% - 강조색1 2 3 3 2" xfId="3606"/>
    <cellStyle name="40% - 강조색1 2 3 4" xfId="3607"/>
    <cellStyle name="40% - 강조색1 2 4 2" xfId="3608"/>
    <cellStyle name="40% - 강조색1 2 5 4" xfId="3609"/>
    <cellStyle name="40% - 강조색1 2 5 2" xfId="3610"/>
    <cellStyle name="40% - 강조색1 2 6" xfId="3611"/>
    <cellStyle name="40% - 강조색2 2 2 2" xfId="3612"/>
    <cellStyle name="40% - 강조색2 2 3 2" xfId="3613"/>
    <cellStyle name="40% - 강조색2 2 3 2 2" xfId="3614"/>
    <cellStyle name="40% - 강조색2 2 3 3" xfId="3615"/>
    <cellStyle name="40% - 강조색2 2 3 3 2" xfId="3616"/>
    <cellStyle name="40% - 강조색2 2 3 4" xfId="3617"/>
    <cellStyle name="40% - 강조색2 2 4 2" xfId="3618"/>
    <cellStyle name="40% - 강조색2 2 5 4" xfId="3619"/>
    <cellStyle name="40% - 강조색2 2 5 2" xfId="3620"/>
    <cellStyle name="40% - 강조색2 2 6" xfId="3621"/>
    <cellStyle name="40% - 강조색3 2 2 2 3" xfId="3622"/>
    <cellStyle name="40% - 강조색3 2 3 2" xfId="3623"/>
    <cellStyle name="40% - 강조색3 2 3 2 2" xfId="3624"/>
    <cellStyle name="40% - 강조색3 2 3 3" xfId="3625"/>
    <cellStyle name="40% - 강조색3 2 3 3 2" xfId="3626"/>
    <cellStyle name="40% - 강조색3 2 3 4" xfId="3627"/>
    <cellStyle name="40% - 강조색3 2 4 2" xfId="3628"/>
    <cellStyle name="40% - 강조색3 2 5 4" xfId="3629"/>
    <cellStyle name="40% - 강조색3 2 5 2" xfId="3630"/>
    <cellStyle name="40% - 강조색3 2 6" xfId="3631"/>
    <cellStyle name="40% - 강조색4 2 2 2 3" xfId="3632"/>
    <cellStyle name="40% - 강조색4 2 3 2" xfId="3633"/>
    <cellStyle name="40% - 강조색4 2 3 2 2" xfId="3634"/>
    <cellStyle name="40% - 강조색4 2 3 3" xfId="3635"/>
    <cellStyle name="40% - 강조색4 2 3 3 2" xfId="3636"/>
    <cellStyle name="40% - 강조색4 2 3 4" xfId="3637"/>
    <cellStyle name="40% - 강조색4 2 4 2" xfId="3638"/>
    <cellStyle name="40% - 강조색4 2 5 4" xfId="3639"/>
    <cellStyle name="40% - 강조색4 2 5 2" xfId="3640"/>
    <cellStyle name="40% - 강조색4 2 6" xfId="3641"/>
    <cellStyle name="40% - 강조색5 2 2 2 3" xfId="3642"/>
    <cellStyle name="40% - 강조색5 2 3 2" xfId="3643"/>
    <cellStyle name="40% - 강조색5 2 3 2 2" xfId="3644"/>
    <cellStyle name="40% - 강조색5 2 3 3" xfId="3645"/>
    <cellStyle name="40% - 강조색5 2 3 3 2" xfId="3646"/>
    <cellStyle name="40% - 강조색5 2 3 4" xfId="3647"/>
    <cellStyle name="40% - 강조색5 2 4 2" xfId="3648"/>
    <cellStyle name="40% - 강조색5 2 5 4" xfId="3649"/>
    <cellStyle name="40% - 강조색5 2 5 2" xfId="3650"/>
    <cellStyle name="40% - 강조색5 2 6" xfId="3651"/>
    <cellStyle name="40% - 강조색6 2 2 2 3" xfId="3652"/>
    <cellStyle name="40% - 강조색6 2 3 2" xfId="3653"/>
    <cellStyle name="40% - 강조색6 2 3 2 2" xfId="3654"/>
    <cellStyle name="40% - 강조색6 2 3 3" xfId="3655"/>
    <cellStyle name="40% - 강조색6 2 3 3 2" xfId="3656"/>
    <cellStyle name="40% - 강조색6 2 3 4" xfId="3657"/>
    <cellStyle name="40% - 강조색6 2 4 2" xfId="3658"/>
    <cellStyle name="40% - 강조색6 2 5 4" xfId="3659"/>
    <cellStyle name="40% - 강조색6 2 5 2" xfId="3660"/>
    <cellStyle name="40% - 강조색6 2 6" xfId="3661"/>
    <cellStyle name="60% - 강조색1 2 2 2 3" xfId="3662"/>
    <cellStyle name="60% - 강조색1 2 3 2" xfId="3663"/>
    <cellStyle name="60% - 강조색1 2 3 2 2" xfId="3664"/>
    <cellStyle name="60% - 강조색1 2 3 3" xfId="3665"/>
    <cellStyle name="60% - 강조색1 2 3 3 2" xfId="3666"/>
    <cellStyle name="60% - 강조색1 2 3 4" xfId="3667"/>
    <cellStyle name="60% - 강조색1 2 4 2" xfId="3668"/>
    <cellStyle name="60% - 강조색1 2 5 4" xfId="3669"/>
    <cellStyle name="60% - 강조색1 2 5 2" xfId="3670"/>
    <cellStyle name="60% - 강조색1 2 6" xfId="3671"/>
    <cellStyle name="60% - 강조색2 2 2 2 3" xfId="3672"/>
    <cellStyle name="60% - 강조색2 2 3 2" xfId="3673"/>
    <cellStyle name="60% - 강조색2 2 3 2 2" xfId="3674"/>
    <cellStyle name="60% - 강조색2 2 3 3" xfId="3675"/>
    <cellStyle name="60% - 강조색2 2 3 3 2" xfId="3676"/>
    <cellStyle name="60% - 강조색2 2 3 4" xfId="3677"/>
    <cellStyle name="60% - 강조색2 2 4 2" xfId="3678"/>
    <cellStyle name="60% - 강조색2 2 5 4" xfId="3679"/>
    <cellStyle name="60% - 강조색2 2 5 2" xfId="3680"/>
    <cellStyle name="60% - 강조색2 2 6" xfId="3681"/>
    <cellStyle name="60% - 강조색3 2 2 2 3" xfId="3682"/>
    <cellStyle name="60% - 강조색3 2 3 2" xfId="3683"/>
    <cellStyle name="60% - 강조색3 2 3 2 2" xfId="3684"/>
    <cellStyle name="60% - 강조색3 2 3 3" xfId="3685"/>
    <cellStyle name="60% - 강조색3 2 3 3 2" xfId="3686"/>
    <cellStyle name="60% - 강조색3 2 3 4" xfId="3687"/>
    <cellStyle name="60% - 강조색3 2 4 2" xfId="3688"/>
    <cellStyle name="60% - 강조색3 2 5 4" xfId="3689"/>
    <cellStyle name="60% - 강조색3 2 5 2" xfId="3690"/>
    <cellStyle name="60% - 강조색3 2 6" xfId="3691"/>
    <cellStyle name="60% - 강조색4 2 2 2 3" xfId="3692"/>
    <cellStyle name="60% - 강조색4 2 3 2" xfId="3693"/>
    <cellStyle name="60% - 강조색4 2 3 2 2" xfId="3694"/>
    <cellStyle name="60% - 강조색4 2 3 3" xfId="3695"/>
    <cellStyle name="60% - 강조색4 2 3 3 2" xfId="3696"/>
    <cellStyle name="60% - 강조색4 2 3 4" xfId="3697"/>
    <cellStyle name="60% - 강조색4 2 4 2" xfId="3698"/>
    <cellStyle name="60% - 강조색4 2 5 4" xfId="3699"/>
    <cellStyle name="60% - 강조색4 2 5 2" xfId="3700"/>
    <cellStyle name="60% - 강조색4 2 6" xfId="3701"/>
    <cellStyle name="60% - 강조색5 2 2 2 3" xfId="3702"/>
    <cellStyle name="60% - 강조색5 2 3 2" xfId="3703"/>
    <cellStyle name="60% - 강조색5 2 3 2 2" xfId="3704"/>
    <cellStyle name="60% - 강조색5 2 3 3" xfId="3705"/>
    <cellStyle name="60% - 강조색5 2 3 3 2" xfId="3706"/>
    <cellStyle name="60% - 강조색5 2 3 4" xfId="3707"/>
    <cellStyle name="60% - 강조색5 2 4 2" xfId="3708"/>
    <cellStyle name="60% - 강조색5 2 5 4" xfId="3709"/>
    <cellStyle name="60% - 강조색5 2 5 2" xfId="3710"/>
    <cellStyle name="60% - 강조색5 2 6" xfId="3711"/>
    <cellStyle name="60% - 강조색6 2 2 2 3" xfId="3712"/>
    <cellStyle name="60% - 강조색6 2 3 2" xfId="3713"/>
    <cellStyle name="60% - 강조색6 2 3 2 2" xfId="3714"/>
    <cellStyle name="60% - 강조색6 2 3 3" xfId="3715"/>
    <cellStyle name="60% - 강조색6 2 3 3 2" xfId="3716"/>
    <cellStyle name="60% - 강조색6 2 3 4" xfId="3717"/>
    <cellStyle name="60% - 강조색6 2 4 2" xfId="3718"/>
    <cellStyle name="60% - 강조색6 2 5 4" xfId="3719"/>
    <cellStyle name="60% - 강조색6 2 5 2" xfId="3720"/>
    <cellStyle name="60% - 강조색6 2 6" xfId="3721"/>
    <cellStyle name="Normal 11 2" xfId="3722"/>
    <cellStyle name="Normal 11 2 2" xfId="3723"/>
    <cellStyle name="Normal 11 3" xfId="3724"/>
    <cellStyle name="Normal 11 4" xfId="3725"/>
    <cellStyle name="Normal 12 2" xfId="3726"/>
    <cellStyle name="Normal 12 3" xfId="3727"/>
    <cellStyle name="Normal 12 3 2" xfId="3728"/>
    <cellStyle name="Normal 13" xfId="3729"/>
    <cellStyle name="Normal 13 2" xfId="3730"/>
    <cellStyle name="Normal 2 2 10" xfId="3731"/>
    <cellStyle name="Normal 2 2 2 2 2 2" xfId="3732"/>
    <cellStyle name="Normal 2 2 2 2 3 2" xfId="3733"/>
    <cellStyle name="Normal 2 2 2 2 3 2 2" xfId="3734"/>
    <cellStyle name="Normal 2 2 2 2 3 3" xfId="3735"/>
    <cellStyle name="Normal 2 2 2 2 3 3 2" xfId="3736"/>
    <cellStyle name="Normal 2 2 2 2 3 4" xfId="3737"/>
    <cellStyle name="Normal 2 2 2 2 4 2" xfId="3738"/>
    <cellStyle name="Normal 2 2 2 2 5" xfId="3739"/>
    <cellStyle name="Normal 2 2 2 2 5 2" xfId="3740"/>
    <cellStyle name="Normal 2 2 2 2 6" xfId="3741"/>
    <cellStyle name="Normal 2 2 2 3 2 2" xfId="3742"/>
    <cellStyle name="Normal 2 2 2 3 3 2" xfId="3743"/>
    <cellStyle name="Normal 2 2 2 3 3 2 2" xfId="3744"/>
    <cellStyle name="Normal 2 2 2 3 3 3" xfId="3745"/>
    <cellStyle name="Normal 2 2 2 3 3 3 2" xfId="3746"/>
    <cellStyle name="Normal 2 2 2 3 3 4" xfId="3747"/>
    <cellStyle name="Normal 2 2 2 3 4 2" xfId="3748"/>
    <cellStyle name="Normal 2 2 2 3 5" xfId="3749"/>
    <cellStyle name="Normal 2 2 2 3 5 2" xfId="3750"/>
    <cellStyle name="Normal 2 2 2 3 6" xfId="3751"/>
    <cellStyle name="Normal 2 2 2 4 2 2" xfId="3752"/>
    <cellStyle name="Normal 2 2 2 4 3 2" xfId="3753"/>
    <cellStyle name="Normal 2 2 2 4 3 2 2" xfId="3754"/>
    <cellStyle name="Normal 2 2 2 4 3 3" xfId="3755"/>
    <cellStyle name="Normal 2 2 2 4 3 3 2" xfId="3756"/>
    <cellStyle name="Normal 2 2 2 4 3 4" xfId="3757"/>
    <cellStyle name="Normal 2 2 2 4 4 2" xfId="3758"/>
    <cellStyle name="Normal 2 2 2 4 5" xfId="3759"/>
    <cellStyle name="Normal 2 2 2 4 5 2" xfId="3760"/>
    <cellStyle name="Normal 2 2 2 4 6" xfId="3761"/>
    <cellStyle name="Normal 2 2 2 5 2" xfId="3762"/>
    <cellStyle name="Normal 2 2 2 6 2" xfId="3763"/>
    <cellStyle name="Normal 2 2 2 7 2" xfId="3764"/>
    <cellStyle name="Normal 2 2 2 8" xfId="3765"/>
    <cellStyle name="Normal 2 2 3 2 2 2" xfId="3766"/>
    <cellStyle name="Normal 2 2 3 2 3 2" xfId="3767"/>
    <cellStyle name="Normal 2 2 3 2 3 2 2" xfId="3768"/>
    <cellStyle name="Normal 2 2 3 2 3 3" xfId="3769"/>
    <cellStyle name="Normal 2 2 3 2 3 3 2" xfId="3770"/>
    <cellStyle name="Normal 2 2 3 2 3 4" xfId="3771"/>
    <cellStyle name="Normal 2 2 3 2 4 2" xfId="3772"/>
    <cellStyle name="Normal 2 2 3 2 5" xfId="3773"/>
    <cellStyle name="Normal 2 2 3 2 5 2" xfId="3774"/>
    <cellStyle name="Normal 2 2 3 2 6" xfId="3775"/>
    <cellStyle name="Normal 2 2 3 3 2 2" xfId="3776"/>
    <cellStyle name="Normal 2 2 3 3 3 2" xfId="3777"/>
    <cellStyle name="Normal 2 2 3 3 3 2 2" xfId="3778"/>
    <cellStyle name="Normal 2 2 3 3 3 3" xfId="3779"/>
    <cellStyle name="Normal 2 2 3 3 3 3 2" xfId="3780"/>
    <cellStyle name="Normal 2 2 3 3 3 4" xfId="3781"/>
    <cellStyle name="Normal 2 2 3 3 4 2" xfId="3782"/>
    <cellStyle name="Normal 2 2 3 3 5" xfId="3783"/>
    <cellStyle name="Normal 2 2 3 3 5 2" xfId="3784"/>
    <cellStyle name="Normal 2 2 3 3 6" xfId="3785"/>
    <cellStyle name="Normal 2 2 3 4 2 2" xfId="3786"/>
    <cellStyle name="Normal 2 2 3 4 3 2" xfId="3787"/>
    <cellStyle name="Normal 2 2 3 4 3 2 2" xfId="3788"/>
    <cellStyle name="Normal 2 2 3 4 3 3" xfId="3789"/>
    <cellStyle name="Normal 2 2 3 4 3 3 2" xfId="3790"/>
    <cellStyle name="Normal 2 2 3 4 3 4" xfId="3791"/>
    <cellStyle name="Normal 2 2 3 4 4 2" xfId="3792"/>
    <cellStyle name="Normal 2 2 3 4 5" xfId="3793"/>
    <cellStyle name="Normal 2 2 3 4 5 2" xfId="3794"/>
    <cellStyle name="Normal 2 2 3 4 6" xfId="3795"/>
    <cellStyle name="Normal 2 2 3 5 2" xfId="3796"/>
    <cellStyle name="Normal 2 2 3 6 2" xfId="3797"/>
    <cellStyle name="Normal 2 2 3 7 2" xfId="3798"/>
    <cellStyle name="Normal 2 2 3 8" xfId="3799"/>
    <cellStyle name="Normal 2 2 4 2 2" xfId="3800"/>
    <cellStyle name="Normal 2 2 4 3 2" xfId="3801"/>
    <cellStyle name="Normal 2 2 4 3 2 2" xfId="3802"/>
    <cellStyle name="Normal 2 2 4 3 3" xfId="3803"/>
    <cellStyle name="Normal 2 2 4 3 3 2" xfId="3804"/>
    <cellStyle name="Normal 2 2 4 3 4" xfId="3805"/>
    <cellStyle name="Normal 2 2 4 4 2" xfId="3806"/>
    <cellStyle name="Normal 2 2 4 5" xfId="3807"/>
    <cellStyle name="Normal 2 2 4 5 2" xfId="3808"/>
    <cellStyle name="Normal 2 2 4 6" xfId="3809"/>
    <cellStyle name="Normal 2 2 5 2 2" xfId="3810"/>
    <cellStyle name="Normal 2 2 5 3 2" xfId="3811"/>
    <cellStyle name="Normal 2 2 5 3 2 2" xfId="3812"/>
    <cellStyle name="Normal 2 2 5 3 3" xfId="3813"/>
    <cellStyle name="Normal 2 2 5 3 3 2" xfId="3814"/>
    <cellStyle name="Normal 2 2 5 3 4" xfId="3815"/>
    <cellStyle name="Normal 2 2 5 4 2" xfId="3816"/>
    <cellStyle name="Normal 2 2 5 5" xfId="3817"/>
    <cellStyle name="Normal 2 2 5 5 2" xfId="3818"/>
    <cellStyle name="Normal 2 2 5 6" xfId="3819"/>
    <cellStyle name="Normal 2 2 6 2 2" xfId="3820"/>
    <cellStyle name="Normal 2 2 6 3 2" xfId="3821"/>
    <cellStyle name="Normal 2 2 6 3 2 2" xfId="3822"/>
    <cellStyle name="Normal 2 2 6 3 3" xfId="3823"/>
    <cellStyle name="Normal 2 2 6 3 3 2" xfId="3824"/>
    <cellStyle name="Normal 2 2 6 3 4" xfId="3825"/>
    <cellStyle name="Normal 2 2 6 4 2" xfId="3826"/>
    <cellStyle name="Normal 2 2 6 5" xfId="3827"/>
    <cellStyle name="Normal 2 2 6 5 2" xfId="3828"/>
    <cellStyle name="Normal 2 2 6 6" xfId="3829"/>
    <cellStyle name="Normal 2 2 7 2" xfId="3830"/>
    <cellStyle name="Normal 2 2 8 2" xfId="3831"/>
    <cellStyle name="Normal 2 2 9 2" xfId="3832"/>
    <cellStyle name="Normal 2 3 2 2 2" xfId="3833"/>
    <cellStyle name="Normal 2 3 2 3 2" xfId="3834"/>
    <cellStyle name="Normal 2 3 2 3 2 2" xfId="3835"/>
    <cellStyle name="Normal 2 3 2 3 3" xfId="3836"/>
    <cellStyle name="Normal 2 3 2 3 3 2" xfId="3837"/>
    <cellStyle name="Normal 2 3 2 3 4" xfId="3838"/>
    <cellStyle name="Normal 2 3 2 4 2" xfId="3839"/>
    <cellStyle name="Normal 2 3 2 5" xfId="3840"/>
    <cellStyle name="Normal 2 3 2 5 2" xfId="3841"/>
    <cellStyle name="Normal 2 3 2 6" xfId="3842"/>
    <cellStyle name="Normal 2 3 3 2 2" xfId="3843"/>
    <cellStyle name="Normal 2 3 3 3 2" xfId="3844"/>
    <cellStyle name="Normal 2 3 3 3 2 2" xfId="3845"/>
    <cellStyle name="Normal 2 3 3 3 3" xfId="3846"/>
    <cellStyle name="Normal 2 3 3 3 3 2" xfId="3847"/>
    <cellStyle name="Normal 2 3 3 3 4" xfId="3848"/>
    <cellStyle name="Normal 2 3 3 4 2" xfId="3849"/>
    <cellStyle name="Normal 2 3 3 5" xfId="3850"/>
    <cellStyle name="Normal 2 3 3 5 2" xfId="3851"/>
    <cellStyle name="Normal 2 3 3 6" xfId="3852"/>
    <cellStyle name="Normal 2 3 4 2 2" xfId="3853"/>
    <cellStyle name="Normal 2 3 4 3 2" xfId="3854"/>
    <cellStyle name="Normal 2 3 4 3 2 2" xfId="3855"/>
    <cellStyle name="Normal 2 3 4 3 3" xfId="3856"/>
    <cellStyle name="Normal 2 3 4 3 3 2" xfId="3857"/>
    <cellStyle name="Normal 2 3 4 3 4" xfId="3858"/>
    <cellStyle name="Normal 2 3 4 4 2" xfId="3859"/>
    <cellStyle name="Normal 2 3 4 5" xfId="3860"/>
    <cellStyle name="Normal 2 3 4 5 2" xfId="3861"/>
    <cellStyle name="Normal 2 3 4 6" xfId="3862"/>
    <cellStyle name="Normal 2 3 5 2" xfId="3863"/>
    <cellStyle name="Normal 2 3 6 2" xfId="3864"/>
    <cellStyle name="Normal 2 3 7 2" xfId="3865"/>
    <cellStyle name="Normal 2 3 8" xfId="3866"/>
    <cellStyle name="Normal 2 4 2 2 2" xfId="3867"/>
    <cellStyle name="Normal 2 4 2 3 2" xfId="3868"/>
    <cellStyle name="Normal 2 4 2 3 2 2" xfId="3869"/>
    <cellStyle name="Normal 2 4 2 3 3" xfId="3870"/>
    <cellStyle name="Normal 2 4 2 3 3 2" xfId="3871"/>
    <cellStyle name="Normal 2 4 2 3 4" xfId="3872"/>
    <cellStyle name="Normal 2 4 2 4 2" xfId="3873"/>
    <cellStyle name="Normal 2 4 2 5" xfId="3874"/>
    <cellStyle name="Normal 2 4 2 5 2" xfId="3875"/>
    <cellStyle name="Normal 2 4 2 6" xfId="3876"/>
    <cellStyle name="Normal 2 4 3 2 2" xfId="3877"/>
    <cellStyle name="Normal 2 4 3 3 2" xfId="3878"/>
    <cellStyle name="Normal 2 4 3 3 2 2" xfId="3879"/>
    <cellStyle name="Normal 2 4 3 3 3" xfId="3880"/>
    <cellStyle name="Normal 2 4 3 3 3 2" xfId="3881"/>
    <cellStyle name="Normal 2 4 3 3 4" xfId="3882"/>
    <cellStyle name="Normal 2 4 3 4 2" xfId="3883"/>
    <cellStyle name="Normal 2 4 3 5" xfId="3884"/>
    <cellStyle name="Normal 2 4 3 5 2" xfId="3885"/>
    <cellStyle name="Normal 2 4 3 6" xfId="3886"/>
    <cellStyle name="Normal 2 4 4 2 2" xfId="3887"/>
    <cellStyle name="Normal 2 4 4 3 2" xfId="3888"/>
    <cellStyle name="Normal 2 4 4 3 2 2" xfId="3889"/>
    <cellStyle name="Normal 2 4 4 3 3" xfId="3890"/>
    <cellStyle name="Normal 2 4 4 3 3 2" xfId="3891"/>
    <cellStyle name="Normal 2 4 4 3 4" xfId="3892"/>
    <cellStyle name="Normal 2 4 4 4 2" xfId="3893"/>
    <cellStyle name="Normal 2 4 4 5" xfId="3894"/>
    <cellStyle name="Normal 2 4 4 5 2" xfId="3895"/>
    <cellStyle name="Normal 2 4 4 6" xfId="3896"/>
    <cellStyle name="Normal 2 4 5 2" xfId="3897"/>
    <cellStyle name="Normal 2 4 6 2" xfId="3898"/>
    <cellStyle name="Normal 2 4 7 2" xfId="3899"/>
    <cellStyle name="Normal 2 4 8" xfId="3900"/>
    <cellStyle name="Normal 2 5 2 2 2" xfId="3901"/>
    <cellStyle name="Normal 2 5 2 3 2" xfId="3902"/>
    <cellStyle name="Normal 2 5 2 3 2 2" xfId="3903"/>
    <cellStyle name="Normal 2 5 2 3 3" xfId="3904"/>
    <cellStyle name="Normal 2 5 2 3 3 2" xfId="3905"/>
    <cellStyle name="Normal 2 5 2 3 4" xfId="3906"/>
    <cellStyle name="Normal 2 5 2 4 2" xfId="3907"/>
    <cellStyle name="Normal 2 5 2 5" xfId="3908"/>
    <cellStyle name="Normal 2 5 2 5 2" xfId="3909"/>
    <cellStyle name="Normal 2 5 2 6" xfId="3910"/>
    <cellStyle name="Normal 2 5 3 2" xfId="3911"/>
    <cellStyle name="Normal 2 5 4 2" xfId="3912"/>
    <cellStyle name="Normal 2 5 5 2" xfId="3913"/>
    <cellStyle name="Normal 2 5 6 3" xfId="3914"/>
    <cellStyle name="Normal 2 6 2 2" xfId="3915"/>
    <cellStyle name="Normal 2 6 3 2" xfId="3916"/>
    <cellStyle name="Normal 2 6 3 2 2" xfId="3917"/>
    <cellStyle name="Normal 2 6 3 3" xfId="3918"/>
    <cellStyle name="Normal 2 6 3 3 2" xfId="3919"/>
    <cellStyle name="Normal 2 6 3 4" xfId="3920"/>
    <cellStyle name="Normal 2 6 4 2" xfId="3921"/>
    <cellStyle name="Normal 2 6 5 4" xfId="3922"/>
    <cellStyle name="Normal 2 6 5 2" xfId="3923"/>
    <cellStyle name="Normal 2 6 6" xfId="3924"/>
    <cellStyle name="Normal 2 7 2 2" xfId="3925"/>
    <cellStyle name="Normal 2 7 3 2" xfId="3926"/>
    <cellStyle name="Normal 2 7 3 2 2" xfId="3927"/>
    <cellStyle name="Normal 2 7 3 3" xfId="3928"/>
    <cellStyle name="Normal 2 7 3 3 2" xfId="3929"/>
    <cellStyle name="Normal 2 7 3 4" xfId="3930"/>
    <cellStyle name="Normal 2 7 4 2" xfId="3931"/>
    <cellStyle name="Normal 2 7 5" xfId="3932"/>
    <cellStyle name="Normal 2 7 5 2" xfId="3933"/>
    <cellStyle name="Normal 2 7 6" xfId="3934"/>
    <cellStyle name="Normal 3 10" xfId="3935"/>
    <cellStyle name="Normal 3 2 2 2 2" xfId="3936"/>
    <cellStyle name="Normal 3 2 2 3 2" xfId="3937"/>
    <cellStyle name="Normal 3 2 2 3 2 2" xfId="3938"/>
    <cellStyle name="Normal 3 2 2 3 3" xfId="3939"/>
    <cellStyle name="Normal 3 2 2 3 3 2" xfId="3940"/>
    <cellStyle name="Normal 3 2 2 3 4" xfId="3941"/>
    <cellStyle name="Normal 3 2 2 4 2" xfId="3942"/>
    <cellStyle name="Normal 3 2 2 5" xfId="3943"/>
    <cellStyle name="Normal 3 2 2 5 2" xfId="3944"/>
    <cellStyle name="Normal 3 2 2 6" xfId="3945"/>
    <cellStyle name="Normal 3 2 3 2 2" xfId="3946"/>
    <cellStyle name="Normal 3 2 3 3 2" xfId="3947"/>
    <cellStyle name="Normal 3 2 3 3 2 2" xfId="3948"/>
    <cellStyle name="Normal 3 2 3 3 3" xfId="3949"/>
    <cellStyle name="Normal 3 2 3 3 3 2" xfId="3950"/>
    <cellStyle name="Normal 3 2 3 3 4" xfId="3951"/>
    <cellStyle name="Normal 3 2 3 4 2" xfId="3952"/>
    <cellStyle name="Normal 3 2 3 5" xfId="3953"/>
    <cellStyle name="Normal 3 2 3 5 2" xfId="3954"/>
    <cellStyle name="Normal 3 2 3 6" xfId="3955"/>
    <cellStyle name="Normal 3 2 4 2 2" xfId="3956"/>
    <cellStyle name="Normal 3 2 4 3 2" xfId="3957"/>
    <cellStyle name="Normal 3 2 4 3 2 2" xfId="3958"/>
    <cellStyle name="Normal 3 2 4 3 3" xfId="3959"/>
    <cellStyle name="Normal 3 2 4 3 3 2" xfId="3960"/>
    <cellStyle name="Normal 3 2 4 3 4" xfId="3961"/>
    <cellStyle name="Normal 3 2 4 4 2" xfId="3962"/>
    <cellStyle name="Normal 3 2 4 5" xfId="3963"/>
    <cellStyle name="Normal 3 2 4 5 2" xfId="3964"/>
    <cellStyle name="Normal 3 2 4 6" xfId="3965"/>
    <cellStyle name="Normal 3 2 5 2" xfId="3966"/>
    <cellStyle name="Normal 3 2 6 2" xfId="3967"/>
    <cellStyle name="Normal 3 2 7 2" xfId="3968"/>
    <cellStyle name="Normal 3 2 8 3" xfId="3969"/>
    <cellStyle name="Normal 3 3 2 2 2" xfId="3970"/>
    <cellStyle name="Normal 3 3 2 3 2" xfId="3971"/>
    <cellStyle name="Normal 3 3 2 3 2 2" xfId="3972"/>
    <cellStyle name="Normal 3 3 2 3 3" xfId="3973"/>
    <cellStyle name="Normal 3 3 2 3 3 2" xfId="3974"/>
    <cellStyle name="Normal 3 3 2 3 4" xfId="3975"/>
    <cellStyle name="Normal 3 3 2 4 2" xfId="3976"/>
    <cellStyle name="Normal 3 3 2 5" xfId="3977"/>
    <cellStyle name="Normal 3 3 2 5 2" xfId="3978"/>
    <cellStyle name="Normal 3 3 2 6" xfId="3979"/>
    <cellStyle name="Normal 3 3 3 2 2" xfId="3980"/>
    <cellStyle name="Normal 3 3 3 3 2" xfId="3981"/>
    <cellStyle name="Normal 3 3 3 3 2 2" xfId="3982"/>
    <cellStyle name="Normal 3 3 3 3 3" xfId="3983"/>
    <cellStyle name="Normal 3 3 3 3 3 2" xfId="3984"/>
    <cellStyle name="Normal 3 3 3 3 4" xfId="3985"/>
    <cellStyle name="Normal 3 3 3 4 2" xfId="3986"/>
    <cellStyle name="Normal 3 3 3 5" xfId="3987"/>
    <cellStyle name="Normal 3 3 3 5 2" xfId="3988"/>
    <cellStyle name="Normal 3 3 3 6" xfId="3989"/>
    <cellStyle name="Normal 3 3 4 2 2" xfId="3990"/>
    <cellStyle name="Normal 3 3 4 3 2" xfId="3991"/>
    <cellStyle name="Normal 3 3 4 3 2 2" xfId="3992"/>
    <cellStyle name="Normal 3 3 4 3 3" xfId="3993"/>
    <cellStyle name="Normal 3 3 4 3 3 2" xfId="3994"/>
    <cellStyle name="Normal 3 3 4 3 4" xfId="3995"/>
    <cellStyle name="Normal 3 3 4 4 2" xfId="3996"/>
    <cellStyle name="Normal 3 3 4 5" xfId="3997"/>
    <cellStyle name="Normal 3 3 4 5 2" xfId="3998"/>
    <cellStyle name="Normal 3 3 4 6" xfId="3999"/>
    <cellStyle name="Normal 3 3 5 2" xfId="4000"/>
    <cellStyle name="Normal 3 3 6 2" xfId="4001"/>
    <cellStyle name="Normal 3 3 7 2" xfId="4002"/>
    <cellStyle name="Normal 3 3 8" xfId="4003"/>
    <cellStyle name="Normal 3 4 2 2" xfId="4004"/>
    <cellStyle name="Normal 3 4 3 2" xfId="4005"/>
    <cellStyle name="Normal 3 4 3 2 2" xfId="4006"/>
    <cellStyle name="Normal 3 4 3 3" xfId="4007"/>
    <cellStyle name="Normal 3 4 3 3 2" xfId="4008"/>
    <cellStyle name="Normal 3 4 3 4" xfId="4009"/>
    <cellStyle name="Normal 3 4 4 2" xfId="4010"/>
    <cellStyle name="Normal 3 4 5" xfId="4011"/>
    <cellStyle name="Normal 3 4 5 2" xfId="4012"/>
    <cellStyle name="Normal 3 4 6" xfId="4013"/>
    <cellStyle name="Normal 3 5 2 2" xfId="4014"/>
    <cellStyle name="Normal 3 5 3 2" xfId="4015"/>
    <cellStyle name="Normal 3 5 3 2 2" xfId="4016"/>
    <cellStyle name="Normal 3 5 3 3" xfId="4017"/>
    <cellStyle name="Normal 3 5 3 3 2" xfId="4018"/>
    <cellStyle name="Normal 3 5 3 4" xfId="4019"/>
    <cellStyle name="Normal 3 5 4 2" xfId="4020"/>
    <cellStyle name="Normal 3 5 5" xfId="4021"/>
    <cellStyle name="Normal 3 5 5 2" xfId="4022"/>
    <cellStyle name="Normal 3 5 6" xfId="4023"/>
    <cellStyle name="Normal 3 6 2 2" xfId="4024"/>
    <cellStyle name="Normal 3 6 3 2" xfId="4025"/>
    <cellStyle name="Normal 3 6 3 2 2" xfId="4026"/>
    <cellStyle name="Normal 3 6 3 3" xfId="4027"/>
    <cellStyle name="Normal 3 6 3 3 2" xfId="4028"/>
    <cellStyle name="Normal 3 6 3 4" xfId="4029"/>
    <cellStyle name="Normal 3 6 4 2" xfId="4030"/>
    <cellStyle name="Normal 3 6 5" xfId="4031"/>
    <cellStyle name="Normal 3 6 5 2" xfId="4032"/>
    <cellStyle name="Normal 3 6 6" xfId="4033"/>
    <cellStyle name="Normal 3 7 2" xfId="4034"/>
    <cellStyle name="Normal 3 8 2" xfId="4035"/>
    <cellStyle name="Normal 3 9 2" xfId="4036"/>
    <cellStyle name="Normal 4 2 2 2" xfId="4037"/>
    <cellStyle name="Normal 4 3 2 4" xfId="4038"/>
    <cellStyle name="Normal 4 4 2 2" xfId="4039"/>
    <cellStyle name="Normal 4 6 2" xfId="4040"/>
    <cellStyle name="Normal 5 2 2 2" xfId="4041"/>
    <cellStyle name="Normal 5 2 3 2" xfId="4042"/>
    <cellStyle name="Normal 5 2 3 2 2" xfId="4043"/>
    <cellStyle name="Normal 5 2 3 3" xfId="4044"/>
    <cellStyle name="Normal 5 2 3 3 2" xfId="4045"/>
    <cellStyle name="Normal 5 2 3 4" xfId="4046"/>
    <cellStyle name="Normal 5 2 4 2" xfId="4047"/>
    <cellStyle name="Normal 5 2 5" xfId="4048"/>
    <cellStyle name="Normal 5 2 5 2" xfId="4049"/>
    <cellStyle name="Normal 5 2 6" xfId="4050"/>
    <cellStyle name="Normal 5 3 2 2" xfId="4051"/>
    <cellStyle name="Normal 5 3 3 2" xfId="4052"/>
    <cellStyle name="Normal 5 3 3 2 2" xfId="4053"/>
    <cellStyle name="Normal 5 3 3 3" xfId="4054"/>
    <cellStyle name="Normal 5 3 3 3 2" xfId="4055"/>
    <cellStyle name="Normal 5 3 3 4" xfId="4056"/>
    <cellStyle name="Normal 5 3 4 2" xfId="4057"/>
    <cellStyle name="Normal 5 3 5" xfId="4058"/>
    <cellStyle name="Normal 5 3 5 2" xfId="4059"/>
    <cellStyle name="Normal 5 3 6" xfId="4060"/>
    <cellStyle name="Normal 5 4 2 2" xfId="4061"/>
    <cellStyle name="Normal 5 4 3 2" xfId="4062"/>
    <cellStyle name="Normal 5 4 3 2 2" xfId="4063"/>
    <cellStyle name="Normal 5 4 3 3" xfId="4064"/>
    <cellStyle name="Normal 5 4 3 3 2" xfId="4065"/>
    <cellStyle name="Normal 5 4 3 4" xfId="4066"/>
    <cellStyle name="Normal 5 4 4 2" xfId="4067"/>
    <cellStyle name="Normal 5 4 5" xfId="4068"/>
    <cellStyle name="Normal 5 4 5 2" xfId="4069"/>
    <cellStyle name="Normal 5 4 6" xfId="4070"/>
    <cellStyle name="Normal 5 5 2" xfId="4071"/>
    <cellStyle name="Normal 5 6 2" xfId="4072"/>
    <cellStyle name="Normal 5 7 2" xfId="4073"/>
    <cellStyle name="Normal 5 8 3" xfId="4074"/>
    <cellStyle name="Normal 6 2 2 2" xfId="4075"/>
    <cellStyle name="Normal 6 2 3 2" xfId="4076"/>
    <cellStyle name="Normal 6 2 3 2 2" xfId="4077"/>
    <cellStyle name="Normal 6 2 3 3" xfId="4078"/>
    <cellStyle name="Normal 6 2 3 3 2" xfId="4079"/>
    <cellStyle name="Normal 6 2 3 4" xfId="4080"/>
    <cellStyle name="Normal 6 2 4 2" xfId="4081"/>
    <cellStyle name="Normal 6 2 5" xfId="4082"/>
    <cellStyle name="Normal 6 2 5 2" xfId="4083"/>
    <cellStyle name="Normal 6 2 6" xfId="4084"/>
    <cellStyle name="Normal 6 3 2 2" xfId="4085"/>
    <cellStyle name="Normal 6 3 3 2" xfId="4086"/>
    <cellStyle name="Normal 6 3 3 2 2" xfId="4087"/>
    <cellStyle name="Normal 6 3 3 3" xfId="4088"/>
    <cellStyle name="Normal 6 3 3 3 2" xfId="4089"/>
    <cellStyle name="Normal 6 3 3 4" xfId="4090"/>
    <cellStyle name="Normal 6 3 4 2" xfId="4091"/>
    <cellStyle name="Normal 6 3 5" xfId="4092"/>
    <cellStyle name="Normal 6 3 5 2" xfId="4093"/>
    <cellStyle name="Normal 6 3 6" xfId="4094"/>
    <cellStyle name="Normal 6 4 2 2" xfId="4095"/>
    <cellStyle name="Normal 6 4 3 2" xfId="4096"/>
    <cellStyle name="Normal 6 4 3 2 2" xfId="4097"/>
    <cellStyle name="Normal 6 4 3 3" xfId="4098"/>
    <cellStyle name="Normal 6 4 3 3 2" xfId="4099"/>
    <cellStyle name="Normal 6 4 3 4" xfId="4100"/>
    <cellStyle name="Normal 6 4 4 2" xfId="4101"/>
    <cellStyle name="Normal 6 4 5" xfId="4102"/>
    <cellStyle name="Normal 6 4 5 2" xfId="4103"/>
    <cellStyle name="Normal 6 4 6" xfId="4104"/>
    <cellStyle name="Normal 6 5 2" xfId="4105"/>
    <cellStyle name="Normal 6 6 2" xfId="4106"/>
    <cellStyle name="Normal 6 7 2" xfId="4107"/>
    <cellStyle name="Normal 6 8" xfId="4108"/>
    <cellStyle name="Normal 7 2 2 2" xfId="4109"/>
    <cellStyle name="Normal 7 2 3 2" xfId="4110"/>
    <cellStyle name="Normal 7 2 3 2 2" xfId="4111"/>
    <cellStyle name="Normal 7 2 3 3" xfId="4112"/>
    <cellStyle name="Normal 7 2 3 3 2" xfId="4113"/>
    <cellStyle name="Normal 7 2 3 4" xfId="4114"/>
    <cellStyle name="Normal 7 2 4 2" xfId="4115"/>
    <cellStyle name="Normal 7 2 5" xfId="4116"/>
    <cellStyle name="Normal 7 2 5 2" xfId="4117"/>
    <cellStyle name="Normal 7 2 6" xfId="4118"/>
    <cellStyle name="Normal 7 3 3 2" xfId="4119"/>
    <cellStyle name="Normal 7 4 2 2" xfId="4120"/>
    <cellStyle name="Normal 7 4 3 2" xfId="4121"/>
    <cellStyle name="Normal 7 4 4 2" xfId="4122"/>
    <cellStyle name="Normal 7 4 5 3" xfId="4123"/>
    <cellStyle name="Normal 7 5 2 2" xfId="4124"/>
    <cellStyle name="Normal 7 5 2 2 2" xfId="4125"/>
    <cellStyle name="Normal 7 5 2 3" xfId="4126"/>
    <cellStyle name="Normal 7 5 2 4" xfId="4127"/>
    <cellStyle name="Normal 7 5 3" xfId="4128"/>
    <cellStyle name="Normal 7 5 4" xfId="4129"/>
    <cellStyle name="Normal 7 5 4 2" xfId="4130"/>
    <cellStyle name="Normal 7 6 2 2" xfId="4131"/>
    <cellStyle name="Normal 7 6 3 2" xfId="4132"/>
    <cellStyle name="Normal 7 6 5" xfId="4133"/>
    <cellStyle name="Normal 7 6 5 2" xfId="4134"/>
    <cellStyle name="Normal 7 6 6" xfId="4135"/>
    <cellStyle name="Normal 7 8 2" xfId="4136"/>
    <cellStyle name="Normal 7 9" xfId="4137"/>
    <cellStyle name="Normal 7 9 2" xfId="4138"/>
    <cellStyle name="Normal 8 2 2 2" xfId="4139"/>
    <cellStyle name="Normal 8 2 3 2" xfId="4140"/>
    <cellStyle name="Normal 8 2 3 2 2" xfId="4141"/>
    <cellStyle name="Normal 8 2 3 3" xfId="4142"/>
    <cellStyle name="Normal 8 2 3 3 2" xfId="4143"/>
    <cellStyle name="Normal 8 2 3 4" xfId="4144"/>
    <cellStyle name="Normal 8 2 4 2" xfId="4145"/>
    <cellStyle name="Normal 8 2 5" xfId="4146"/>
    <cellStyle name="Normal 8 2 5 2" xfId="4147"/>
    <cellStyle name="Normal 8 2 6" xfId="4148"/>
    <cellStyle name="Normal 8 3 2 2" xfId="4149"/>
    <cellStyle name="Normal 8 3 3 2" xfId="4150"/>
    <cellStyle name="Normal 8 3 4 2" xfId="4151"/>
    <cellStyle name="Normal 8 3 5" xfId="4152"/>
    <cellStyle name="Normal 8 4 2 2" xfId="4153"/>
    <cellStyle name="Normal 8 4 3 2" xfId="4154"/>
    <cellStyle name="Normal 8 4 4 2" xfId="4155"/>
    <cellStyle name="Normal 8 4 5" xfId="4156"/>
    <cellStyle name="Normal 8 5 2" xfId="4157"/>
    <cellStyle name="Normal 8 5 2 2" xfId="4158"/>
    <cellStyle name="Normal 8 5 3" xfId="4159"/>
    <cellStyle name="Normal 8 5 3 2" xfId="4160"/>
    <cellStyle name="Normal 8 5 4" xfId="4161"/>
    <cellStyle name="Normal 8 6 2" xfId="4162"/>
    <cellStyle name="Normal 8 7 2" xfId="4163"/>
    <cellStyle name="Normal 8 8" xfId="4164"/>
    <cellStyle name="Normal 8 8 2" xfId="4165"/>
    <cellStyle name="Normal 8 9" xfId="4166"/>
    <cellStyle name="Normal 9 2 2 2" xfId="4167"/>
    <cellStyle name="Normal 9 2 3 2" xfId="4168"/>
    <cellStyle name="Normal 9 2 3 2 2" xfId="4169"/>
    <cellStyle name="Normal 9 2 3 3" xfId="4170"/>
    <cellStyle name="Normal 9 2 3 3 2" xfId="4171"/>
    <cellStyle name="Normal 9 2 3 4" xfId="4172"/>
    <cellStyle name="Normal 9 2 4 2" xfId="4173"/>
    <cellStyle name="Normal 9 2 5" xfId="4174"/>
    <cellStyle name="Normal 9 2 5 2" xfId="4175"/>
    <cellStyle name="Normal 9 2 6" xfId="4176"/>
    <cellStyle name="Normal 9 3 2" xfId="4177"/>
    <cellStyle name="Normal 9 4 2" xfId="4178"/>
    <cellStyle name="Normal 9 4 2 2" xfId="4179"/>
    <cellStyle name="Normal 9 4 3" xfId="4180"/>
    <cellStyle name="Normal 9 4 3 2" xfId="4181"/>
    <cellStyle name="Normal 9 4 4" xfId="4182"/>
    <cellStyle name="Normal 9 5 2" xfId="4183"/>
    <cellStyle name="Normal 9 6 4" xfId="4184"/>
    <cellStyle name="Normal 9 6 2" xfId="4185"/>
    <cellStyle name="Normal 9 7" xfId="4186"/>
    <cellStyle name="Note 2 16" xfId="4187"/>
    <cellStyle name="Note 2 10" xfId="4188"/>
    <cellStyle name="Note 2 11" xfId="4189"/>
    <cellStyle name="Note 2 11 2" xfId="4190"/>
    <cellStyle name="Note 2 2 15" xfId="4191"/>
    <cellStyle name="Note 2 2 10" xfId="4192"/>
    <cellStyle name="Note 2 2 10 2" xfId="4193"/>
    <cellStyle name="Note 2 2 2 10" xfId="4194"/>
    <cellStyle name="Note 2 2 2 2 4" xfId="4195"/>
    <cellStyle name="Note 2 2 2 4" xfId="4196"/>
    <cellStyle name="Note 2 2 2 5" xfId="4197"/>
    <cellStyle name="Note 2 2 2 5 2" xfId="4198"/>
    <cellStyle name="Note 2 2 2 6" xfId="4199"/>
    <cellStyle name="Note 2 2 2 7" xfId="4200"/>
    <cellStyle name="Note 2 2 2 7 2" xfId="4201"/>
    <cellStyle name="Note 2 2 3 10" xfId="4202"/>
    <cellStyle name="Note 2 2 3 2 3" xfId="4203"/>
    <cellStyle name="Note 2 2 3 2 2" xfId="4204"/>
    <cellStyle name="Note 2 2 3 3 4" xfId="4205"/>
    <cellStyle name="Note 2 2 3 3 2" xfId="4206"/>
    <cellStyle name="Note 2 2 3 3 3" xfId="4207"/>
    <cellStyle name="Note 2 2 3 4" xfId="4208"/>
    <cellStyle name="Note 2 2 3 5" xfId="4209"/>
    <cellStyle name="Note 2 2 3 5 2" xfId="4210"/>
    <cellStyle name="Note 2 2 3 6" xfId="4211"/>
    <cellStyle name="Note 2 2 3 7" xfId="4212"/>
    <cellStyle name="Note 2 2 3 7 2" xfId="4213"/>
    <cellStyle name="Note 2 2 4 10" xfId="4214"/>
    <cellStyle name="Note 2 2 4 2 3" xfId="4215"/>
    <cellStyle name="Note 2 2 4 4" xfId="4216"/>
    <cellStyle name="Note 2 2 4 5" xfId="4217"/>
    <cellStyle name="Note 2 2 4 5 2" xfId="4218"/>
    <cellStyle name="Note 2 2 4 6" xfId="4219"/>
    <cellStyle name="Note 2 2 4 7" xfId="4220"/>
    <cellStyle name="Note 2 2 4 7 2" xfId="4221"/>
    <cellStyle name="Note 2 2 5 4" xfId="4222"/>
    <cellStyle name="Note 2 2 5 2" xfId="4223"/>
    <cellStyle name="Note 2 2 7" xfId="4224"/>
    <cellStyle name="Note 2 2 8" xfId="4225"/>
    <cellStyle name="Note 2 2 8 2" xfId="4226"/>
    <cellStyle name="Note 2 2 9" xfId="4227"/>
    <cellStyle name="Note 2 3 10" xfId="4228"/>
    <cellStyle name="Note 2 3 2 4" xfId="4229"/>
    <cellStyle name="Note 2 3 4" xfId="4230"/>
    <cellStyle name="Note 2 3 5" xfId="4231"/>
    <cellStyle name="Note 2 3 5 2" xfId="4232"/>
    <cellStyle name="Note 2 3 6" xfId="4233"/>
    <cellStyle name="Note 2 3 7" xfId="4234"/>
    <cellStyle name="Note 2 3 7 2" xfId="4235"/>
    <cellStyle name="Note 2 4 10" xfId="4236"/>
    <cellStyle name="Note 2 4 2 4" xfId="4237"/>
    <cellStyle name="Note 2 4 2 2 3" xfId="4238"/>
    <cellStyle name="Note 2 4 3 4" xfId="4239"/>
    <cellStyle name="Note 2 4 3 2" xfId="4240"/>
    <cellStyle name="Note 2 4 3 3" xfId="4241"/>
    <cellStyle name="Note 2 4 4" xfId="4242"/>
    <cellStyle name="Note 2 4 5" xfId="4243"/>
    <cellStyle name="Note 2 4 5 2" xfId="4244"/>
    <cellStyle name="Note 2 4 6" xfId="4245"/>
    <cellStyle name="Note 2 4 7" xfId="4246"/>
    <cellStyle name="Note 2 4 7 2" xfId="4247"/>
    <cellStyle name="Note 2 5 10" xfId="4248"/>
    <cellStyle name="Note 2 5 2 3" xfId="4249"/>
    <cellStyle name="Note 2 5 4" xfId="4250"/>
    <cellStyle name="Note 2 5 5" xfId="4251"/>
    <cellStyle name="Note 2 5 5 2" xfId="4252"/>
    <cellStyle name="Note 2 5 6" xfId="4253"/>
    <cellStyle name="Note 2 5 7" xfId="4254"/>
    <cellStyle name="Note 2 5 7 2" xfId="4255"/>
    <cellStyle name="Note 2 6 5" xfId="4256"/>
    <cellStyle name="Note 2 6 2 3" xfId="4257"/>
    <cellStyle name="Note 2 8 3" xfId="4258"/>
    <cellStyle name="Note 2 9 3" xfId="4259"/>
    <cellStyle name="Note 2 9 2" xfId="4260"/>
    <cellStyle name="Note 3 16" xfId="4261"/>
    <cellStyle name="Note 3 10" xfId="4262"/>
    <cellStyle name="Note 3 11" xfId="4263"/>
    <cellStyle name="Note 3 11 2" xfId="4264"/>
    <cellStyle name="Note 3 2 15" xfId="4265"/>
    <cellStyle name="Note 3 2 10" xfId="4266"/>
    <cellStyle name="Note 3 2 10 2" xfId="4267"/>
    <cellStyle name="Note 3 2 2 10" xfId="4268"/>
    <cellStyle name="Note 3 2 2 2 3" xfId="4269"/>
    <cellStyle name="Note 3 2 2 3" xfId="4270"/>
    <cellStyle name="Note 3 2 2 4" xfId="4271"/>
    <cellStyle name="Note 3 2 2 5" xfId="4272"/>
    <cellStyle name="Note 3 2 2 5 2" xfId="4273"/>
    <cellStyle name="Note 3 2 2 6" xfId="4274"/>
    <cellStyle name="Note 3 2 2 7" xfId="4275"/>
    <cellStyle name="Note 3 2 2 7 2" xfId="4276"/>
    <cellStyle name="Note 3 2 3 10" xfId="4277"/>
    <cellStyle name="Note 3 2 3 2" xfId="4278"/>
    <cellStyle name="Note 3 2 3 2 2" xfId="4279"/>
    <cellStyle name="Note 3 2 3 3" xfId="4280"/>
    <cellStyle name="Note 3 2 3 3 2" xfId="4281"/>
    <cellStyle name="Note 3 2 3 3 3" xfId="4282"/>
    <cellStyle name="Note 3 2 3 4" xfId="4283"/>
    <cellStyle name="Note 3 2 3 5" xfId="4284"/>
    <cellStyle name="Note 3 2 3 5 2" xfId="4285"/>
    <cellStyle name="Note 3 2 3 6" xfId="4286"/>
    <cellStyle name="Note 3 2 3 7" xfId="4287"/>
    <cellStyle name="Note 3 2 3 7 2" xfId="4288"/>
    <cellStyle name="Note 3 2 4 10" xfId="4289"/>
    <cellStyle name="Note 3 2 4 2" xfId="4290"/>
    <cellStyle name="Note 3 2 4 3" xfId="4291"/>
    <cellStyle name="Note 3 2 4 4" xfId="4292"/>
    <cellStyle name="Note 3 2 4 5" xfId="4293"/>
    <cellStyle name="Note 3 2 4 5 2" xfId="4294"/>
    <cellStyle name="Note 3 2 4 6" xfId="4295"/>
    <cellStyle name="Note 3 2 4 7" xfId="4296"/>
    <cellStyle name="Note 3 2 4 7 2" xfId="4297"/>
    <cellStyle name="Note 3 2 5 4" xfId="4298"/>
    <cellStyle name="Note 3 2 5 2" xfId="4299"/>
    <cellStyle name="Note 3 2 6" xfId="4300"/>
    <cellStyle name="Note 3 2 7" xfId="4301"/>
    <cellStyle name="Note 3 2 8" xfId="4302"/>
    <cellStyle name="Note 3 2 8 2" xfId="4303"/>
    <cellStyle name="Note 3 2 9" xfId="4304"/>
    <cellStyle name="Note 3 3 10" xfId="4305"/>
    <cellStyle name="Note 3 3 2 4" xfId="4306"/>
    <cellStyle name="Note 3 3 4" xfId="4307"/>
    <cellStyle name="Note 3 3 5" xfId="4308"/>
    <cellStyle name="Note 3 3 5 2" xfId="4309"/>
    <cellStyle name="Note 3 3 6" xfId="4310"/>
    <cellStyle name="Note 3 3 7" xfId="4311"/>
    <cellStyle name="Note 3 3 7 2" xfId="4312"/>
    <cellStyle name="Note 3 4 10" xfId="4313"/>
    <cellStyle name="Note 3 4 2 3" xfId="4314"/>
    <cellStyle name="Note 3 4 2 2" xfId="4315"/>
    <cellStyle name="Note 3 4 3 4" xfId="4316"/>
    <cellStyle name="Note 3 4 3 2" xfId="4317"/>
    <cellStyle name="Note 3 4 3 3" xfId="4318"/>
    <cellStyle name="Note 3 4 4" xfId="4319"/>
    <cellStyle name="Note 3 4 5" xfId="4320"/>
    <cellStyle name="Note 3 4 5 2" xfId="4321"/>
    <cellStyle name="Note 3 4 6" xfId="4322"/>
    <cellStyle name="Note 3 4 7" xfId="4323"/>
    <cellStyle name="Note 3 4 7 2" xfId="4324"/>
    <cellStyle name="Note 3 5 10" xfId="4325"/>
    <cellStyle name="Note 3 5 2 3" xfId="4326"/>
    <cellStyle name="Note 3 5 4" xfId="4327"/>
    <cellStyle name="Note 3 5 5" xfId="4328"/>
    <cellStyle name="Note 3 5 5 2" xfId="4329"/>
    <cellStyle name="Note 3 5 6" xfId="4330"/>
    <cellStyle name="Note 3 5 7" xfId="4331"/>
    <cellStyle name="Note 3 5 7 2" xfId="4332"/>
    <cellStyle name="Note 3 6 4" xfId="4333"/>
    <cellStyle name="Note 3 6 2" xfId="4334"/>
    <cellStyle name="Note 3 8" xfId="4335"/>
    <cellStyle name="Note 3 9" xfId="4336"/>
    <cellStyle name="Note 3 9 2" xfId="4337"/>
    <cellStyle name="Note 4 16" xfId="4338"/>
    <cellStyle name="Note 4 10" xfId="4339"/>
    <cellStyle name="Note 4 11" xfId="4340"/>
    <cellStyle name="Note 4 11 2" xfId="4341"/>
    <cellStyle name="Note 4 2 15" xfId="4342"/>
    <cellStyle name="Note 4 2 10" xfId="4343"/>
    <cellStyle name="Note 4 2 10 2" xfId="4344"/>
    <cellStyle name="Note 4 2 2 10" xfId="4345"/>
    <cellStyle name="Note 4 2 2 2 6" xfId="4346"/>
    <cellStyle name="Note 4 2 2 4 3" xfId="4347"/>
    <cellStyle name="Note 4 2 2 5 4" xfId="4348"/>
    <cellStyle name="Note 4 2 2 5 2" xfId="4349"/>
    <cellStyle name="Note 4 2 2 6" xfId="4350"/>
    <cellStyle name="Note 4 2 2 7" xfId="4351"/>
    <cellStyle name="Note 4 2 2 7 2" xfId="4352"/>
    <cellStyle name="Note 4 2 3 10" xfId="4353"/>
    <cellStyle name="Note 4 2 3 2 3" xfId="4354"/>
    <cellStyle name="Note 4 2 3 2 2" xfId="4355"/>
    <cellStyle name="Note 4 2 3 3 4" xfId="4356"/>
    <cellStyle name="Note 4 2 3 3 2" xfId="4357"/>
    <cellStyle name="Note 4 2 3 3 3" xfId="4358"/>
    <cellStyle name="Note 4 2 3 4" xfId="4359"/>
    <cellStyle name="Note 4 2 3 5" xfId="4360"/>
    <cellStyle name="Note 4 2 3 5 2" xfId="4361"/>
    <cellStyle name="Note 4 2 3 6" xfId="4362"/>
    <cellStyle name="Note 4 2 3 7" xfId="4363"/>
    <cellStyle name="Note 4 2 3 7 2" xfId="4364"/>
    <cellStyle name="Note 4 2 4 10" xfId="4365"/>
    <cellStyle name="Note 4 2 4 2 5" xfId="4366"/>
    <cellStyle name="Note 4 2 4 4 3" xfId="4367"/>
    <cellStyle name="Note 4 2 4 5 4" xfId="4368"/>
    <cellStyle name="Note 4 2 4 5 2" xfId="4369"/>
    <cellStyle name="Note 4 2 4 6" xfId="4370"/>
    <cellStyle name="Note 4 2 4 7" xfId="4371"/>
    <cellStyle name="Note 4 2 4 7 2" xfId="4372"/>
    <cellStyle name="Note 4 2 5 4" xfId="4373"/>
    <cellStyle name="Note 4 2 5 2" xfId="4374"/>
    <cellStyle name="Note 4 2 7" xfId="4375"/>
    <cellStyle name="Note 4 2 8" xfId="4376"/>
    <cellStyle name="Note 4 2 8 2" xfId="4377"/>
    <cellStyle name="Note 4 2 9" xfId="4378"/>
    <cellStyle name="Note 4 3 10" xfId="4379"/>
    <cellStyle name="Note 4 3 2 3" xfId="4380"/>
    <cellStyle name="Note 4 3 4" xfId="4381"/>
    <cellStyle name="Note 4 3 5" xfId="4382"/>
    <cellStyle name="Note 4 3 5 2" xfId="4383"/>
    <cellStyle name="Note 4 3 6" xfId="4384"/>
    <cellStyle name="Note 4 3 7" xfId="4385"/>
    <cellStyle name="Note 4 3 7 2" xfId="4386"/>
    <cellStyle name="Note 4 4 10" xfId="4387"/>
    <cellStyle name="Note 4 4 2 6" xfId="4388"/>
    <cellStyle name="Note 4 4 2 2 5" xfId="4389"/>
    <cellStyle name="Note 4 4 3 4" xfId="4390"/>
    <cellStyle name="Note 4 4 3 2 3" xfId="4391"/>
    <cellStyle name="Note 4 4 3 3" xfId="4392"/>
    <cellStyle name="Note 4 4 4 3" xfId="4393"/>
    <cellStyle name="Note 4 4 5 4" xfId="4394"/>
    <cellStyle name="Note 4 4 5 2" xfId="4395"/>
    <cellStyle name="Note 4 4 6" xfId="4396"/>
    <cellStyle name="Note 4 4 7" xfId="4397"/>
    <cellStyle name="Note 4 4 7 2" xfId="4398"/>
    <cellStyle name="Note 4 5 10" xfId="4399"/>
    <cellStyle name="Note 4 5 2 5" xfId="4400"/>
    <cellStyle name="Note 4 5 4 3" xfId="4401"/>
    <cellStyle name="Note 4 5 5 4" xfId="4402"/>
    <cellStyle name="Note 4 5 5 2" xfId="4403"/>
    <cellStyle name="Note 4 5 6" xfId="4404"/>
    <cellStyle name="Note 4 5 7" xfId="4405"/>
    <cellStyle name="Note 4 5 7 2" xfId="4406"/>
    <cellStyle name="Note 4 6 4" xfId="4407"/>
    <cellStyle name="Note 4 6 2" xfId="4408"/>
    <cellStyle name="Note 4 8" xfId="4409"/>
    <cellStyle name="Note 4 9" xfId="4410"/>
    <cellStyle name="Note 4 9 2" xfId="4411"/>
    <cellStyle name="강조색1 2 2 2 3" xfId="4412"/>
    <cellStyle name="강조색1 2 3 2" xfId="4413"/>
    <cellStyle name="강조색1 2 3 2 2" xfId="4414"/>
    <cellStyle name="강조색1 2 3 3" xfId="4415"/>
    <cellStyle name="강조색1 2 3 3 2" xfId="4416"/>
    <cellStyle name="강조색1 2 3 4" xfId="4417"/>
    <cellStyle name="강조색1 2 4 2" xfId="4418"/>
    <cellStyle name="강조색1 2 5 4" xfId="4419"/>
    <cellStyle name="강조색1 2 5 2" xfId="4420"/>
    <cellStyle name="강조색1 2 6" xfId="4421"/>
    <cellStyle name="강조색2 2 2 2 3" xfId="4422"/>
    <cellStyle name="강조색2 2 3 2" xfId="4423"/>
    <cellStyle name="강조색2 2 3 2 2" xfId="4424"/>
    <cellStyle name="강조색2 2 3 3" xfId="4425"/>
    <cellStyle name="강조색2 2 3 3 2" xfId="4426"/>
    <cellStyle name="강조색2 2 3 4" xfId="4427"/>
    <cellStyle name="강조색2 2 4 2" xfId="4428"/>
    <cellStyle name="강조색2 2 5 4" xfId="4429"/>
    <cellStyle name="강조색2 2 5 2" xfId="4430"/>
    <cellStyle name="강조색2 2 6" xfId="4431"/>
    <cellStyle name="강조색3 2 2 2 3" xfId="4432"/>
    <cellStyle name="강조색3 2 3 2" xfId="4433"/>
    <cellStyle name="강조색3 2 3 2 2" xfId="4434"/>
    <cellStyle name="강조색3 2 3 3" xfId="4435"/>
    <cellStyle name="강조색3 2 3 3 2" xfId="4436"/>
    <cellStyle name="강조색3 2 3 4" xfId="4437"/>
    <cellStyle name="강조색3 2 4 2" xfId="4438"/>
    <cellStyle name="강조색3 2 5 4" xfId="4439"/>
    <cellStyle name="강조색3 2 5 2" xfId="4440"/>
    <cellStyle name="강조색3 2 6" xfId="4441"/>
    <cellStyle name="강조색4 2 2 2 3" xfId="4442"/>
    <cellStyle name="강조색4 2 3 2" xfId="4443"/>
    <cellStyle name="강조색4 2 3 2 2" xfId="4444"/>
    <cellStyle name="강조색4 2 3 3" xfId="4445"/>
    <cellStyle name="강조색4 2 3 3 2" xfId="4446"/>
    <cellStyle name="강조색4 2 3 4" xfId="4447"/>
    <cellStyle name="강조색4 2 4 2" xfId="4448"/>
    <cellStyle name="강조색4 2 5 4" xfId="4449"/>
    <cellStyle name="강조색4 2 5 2" xfId="4450"/>
    <cellStyle name="강조색4 2 6" xfId="4451"/>
    <cellStyle name="강조색5 2 2 2" xfId="4452"/>
    <cellStyle name="강조색5 2 3 2" xfId="4453"/>
    <cellStyle name="강조색5 2 3 2 2" xfId="4454"/>
    <cellStyle name="강조색5 2 3 3" xfId="4455"/>
    <cellStyle name="강조색5 2 3 3 2" xfId="4456"/>
    <cellStyle name="강조색5 2 3 4" xfId="4457"/>
    <cellStyle name="강조색5 2 4 2" xfId="4458"/>
    <cellStyle name="강조색5 2 5 4" xfId="4459"/>
    <cellStyle name="강조색5 2 5 2" xfId="4460"/>
    <cellStyle name="강조색5 2 6" xfId="4461"/>
    <cellStyle name="강조색6 2 2 2 3" xfId="4462"/>
    <cellStyle name="강조색6 2 3 2" xfId="4463"/>
    <cellStyle name="강조색6 2 3 2 2" xfId="4464"/>
    <cellStyle name="강조색6 2 3 3" xfId="4465"/>
    <cellStyle name="강조색6 2 3 3 2" xfId="4466"/>
    <cellStyle name="강조색6 2 3 4" xfId="4467"/>
    <cellStyle name="강조색6 2 4 2" xfId="4468"/>
    <cellStyle name="강조색6 2 5 4" xfId="4469"/>
    <cellStyle name="강조색6 2 5 2" xfId="4470"/>
    <cellStyle name="강조색6 2 6" xfId="4471"/>
    <cellStyle name="경고문 2 2 2" xfId="4472"/>
    <cellStyle name="경고문 2 3 2" xfId="4473"/>
    <cellStyle name="경고문 2 3 2 2" xfId="4474"/>
    <cellStyle name="경고문 2 3 3" xfId="4475"/>
    <cellStyle name="경고문 2 3 3 2" xfId="4476"/>
    <cellStyle name="경고문 2 3 4" xfId="4477"/>
    <cellStyle name="경고문 2 4 2" xfId="4478"/>
    <cellStyle name="경고문 2 5 4" xfId="4479"/>
    <cellStyle name="경고문 2 5 2" xfId="4480"/>
    <cellStyle name="경고문 2 6" xfId="4481"/>
    <cellStyle name="계산 2 2 2 3" xfId="4482"/>
    <cellStyle name="계산 2 3 2" xfId="4483"/>
    <cellStyle name="계산 2 3 2 2" xfId="4484"/>
    <cellStyle name="계산 2 3 3" xfId="4485"/>
    <cellStyle name="계산 2 3 3 2" xfId="4486"/>
    <cellStyle name="계산 2 3 4" xfId="4487"/>
    <cellStyle name="계산 2 4 2" xfId="4488"/>
    <cellStyle name="계산 2 5 4" xfId="4489"/>
    <cellStyle name="계산 2 5 2" xfId="4490"/>
    <cellStyle name="계산 2 6" xfId="4491"/>
    <cellStyle name="나쁨 2 2 2 3" xfId="4492"/>
    <cellStyle name="나쁨 2 3 2" xfId="4493"/>
    <cellStyle name="나쁨 2 3 2 2" xfId="4494"/>
    <cellStyle name="나쁨 2 3 3" xfId="4495"/>
    <cellStyle name="나쁨 2 3 3 2" xfId="4496"/>
    <cellStyle name="나쁨 2 3 4" xfId="4497"/>
    <cellStyle name="나쁨 2 4 2" xfId="4498"/>
    <cellStyle name="나쁨 2 5 4" xfId="4499"/>
    <cellStyle name="나쁨 2 5 2" xfId="4500"/>
    <cellStyle name="나쁨 2 6" xfId="4501"/>
    <cellStyle name="보통 2 2 2 3" xfId="4502"/>
    <cellStyle name="보통 2 3 2" xfId="4503"/>
    <cellStyle name="보통 2 3 2 2" xfId="4504"/>
    <cellStyle name="보통 2 3 3" xfId="4505"/>
    <cellStyle name="보통 2 3 3 2" xfId="4506"/>
    <cellStyle name="보통 2 3 4" xfId="4507"/>
    <cellStyle name="보통 2 4 2" xfId="4508"/>
    <cellStyle name="보통 2 5 4" xfId="4509"/>
    <cellStyle name="보통 2 5 2" xfId="4510"/>
    <cellStyle name="보통 2 6" xfId="4511"/>
    <cellStyle name="설명 텍스트 2 2 2" xfId="4512"/>
    <cellStyle name="설명 텍스트 2 3 2" xfId="4513"/>
    <cellStyle name="설명 텍스트 2 3 2 2" xfId="4514"/>
    <cellStyle name="설명 텍스트 2 3 3" xfId="4515"/>
    <cellStyle name="설명 텍스트 2 3 3 2" xfId="4516"/>
    <cellStyle name="설명 텍스트 2 3 4" xfId="4517"/>
    <cellStyle name="설명 텍스트 2 4 2" xfId="4518"/>
    <cellStyle name="설명 텍스트 2 5 4" xfId="4519"/>
    <cellStyle name="설명 텍스트 2 5 2" xfId="4520"/>
    <cellStyle name="설명 텍스트 2 6" xfId="4521"/>
    <cellStyle name="셀 확인 2 2 2" xfId="4522"/>
    <cellStyle name="셀 확인 2 3 2" xfId="4523"/>
    <cellStyle name="셀 확인 2 3 2 2" xfId="4524"/>
    <cellStyle name="셀 확인 2 3 3" xfId="4525"/>
    <cellStyle name="셀 확인 2 3 3 2" xfId="4526"/>
    <cellStyle name="셀 확인 2 3 4" xfId="4527"/>
    <cellStyle name="셀 확인 2 4 2" xfId="4528"/>
    <cellStyle name="셀 확인 2 5 4" xfId="4529"/>
    <cellStyle name="셀 확인 2 5 2" xfId="4530"/>
    <cellStyle name="셀 확인 2 6" xfId="4531"/>
    <cellStyle name="연결된 셀 2 2 2 3" xfId="4532"/>
    <cellStyle name="연결된 셀 2 3 2" xfId="4533"/>
    <cellStyle name="연결된 셀 2 3 2 2" xfId="4534"/>
    <cellStyle name="연결된 셀 2 3 3" xfId="4535"/>
    <cellStyle name="연결된 셀 2 3 3 2" xfId="4536"/>
    <cellStyle name="연결된 셀 2 3 4" xfId="4537"/>
    <cellStyle name="연결된 셀 2 4 2" xfId="4538"/>
    <cellStyle name="연결된 셀 2 5 4" xfId="4539"/>
    <cellStyle name="연결된 셀 2 5 2" xfId="4540"/>
    <cellStyle name="연결된 셀 2 6" xfId="4541"/>
    <cellStyle name="요약 2 2 2 3" xfId="4542"/>
    <cellStyle name="요약 2 3 2" xfId="4543"/>
    <cellStyle name="요약 2 3 2 2" xfId="4544"/>
    <cellStyle name="요약 2 3 3" xfId="4545"/>
    <cellStyle name="요약 2 3 3 2" xfId="4546"/>
    <cellStyle name="요약 2 3 4" xfId="4547"/>
    <cellStyle name="요약 2 4 2" xfId="4548"/>
    <cellStyle name="요약 2 5 4" xfId="4549"/>
    <cellStyle name="요약 2 5 2" xfId="4550"/>
    <cellStyle name="요약 2 6" xfId="4551"/>
    <cellStyle name="입력 2 2 2 3" xfId="4552"/>
    <cellStyle name="입력 2 3 2" xfId="4553"/>
    <cellStyle name="입력 2 3 2 2" xfId="4554"/>
    <cellStyle name="입력 2 3 3" xfId="4555"/>
    <cellStyle name="입력 2 3 3 2" xfId="4556"/>
    <cellStyle name="입력 2 3 4" xfId="4557"/>
    <cellStyle name="입력 2 4 2" xfId="4558"/>
    <cellStyle name="입력 2 5 4" xfId="4559"/>
    <cellStyle name="입력 2 5 2" xfId="4560"/>
    <cellStyle name="입력 2 6" xfId="4561"/>
    <cellStyle name="제목 1 2 2 2 3" xfId="4562"/>
    <cellStyle name="제목 1 2 3 2" xfId="4563"/>
    <cellStyle name="제목 1 2 3 2 2" xfId="4564"/>
    <cellStyle name="제목 1 2 3 3" xfId="4565"/>
    <cellStyle name="제목 1 2 3 3 2" xfId="4566"/>
    <cellStyle name="제목 1 2 3 4" xfId="4567"/>
    <cellStyle name="제목 1 2 4 2" xfId="4568"/>
    <cellStyle name="제목 1 2 5 5" xfId="4569"/>
    <cellStyle name="제목 1 2 5 2" xfId="4570"/>
    <cellStyle name="제목 1 2 6" xfId="4571"/>
    <cellStyle name="제목 2 2 2 2 3" xfId="4572"/>
    <cellStyle name="제목 2 2 3 2" xfId="4573"/>
    <cellStyle name="제목 2 2 3 2 2" xfId="4574"/>
    <cellStyle name="제목 2 2 3 3" xfId="4575"/>
    <cellStyle name="제목 2 2 3 3 2" xfId="4576"/>
    <cellStyle name="제목 2 2 3 4" xfId="4577"/>
    <cellStyle name="제목 2 2 4 2" xfId="4578"/>
    <cellStyle name="제목 2 2 5 5" xfId="4579"/>
    <cellStyle name="제목 2 2 5 2" xfId="4580"/>
    <cellStyle name="제목 2 2 6" xfId="4581"/>
    <cellStyle name="제목 3 2 2 2 3" xfId="4582"/>
    <cellStyle name="제목 3 2 3 2" xfId="4583"/>
    <cellStyle name="제목 3 2 3 2 2" xfId="4584"/>
    <cellStyle name="제목 3 2 3 3" xfId="4585"/>
    <cellStyle name="제목 3 2 3 3 2" xfId="4586"/>
    <cellStyle name="제목 3 2 3 4" xfId="4587"/>
    <cellStyle name="제목 3 2 4 2" xfId="4588"/>
    <cellStyle name="제목 3 2 5 5" xfId="4589"/>
    <cellStyle name="제목 3 2 5 2" xfId="4590"/>
    <cellStyle name="제목 3 2 6" xfId="4591"/>
    <cellStyle name="제목 4 2 2 2 3" xfId="4592"/>
    <cellStyle name="제목 4 2 3 2" xfId="4593"/>
    <cellStyle name="제목 4 2 3 2 2" xfId="4594"/>
    <cellStyle name="제목 4 2 3 3" xfId="4595"/>
    <cellStyle name="제목 4 2 3 3 2" xfId="4596"/>
    <cellStyle name="제목 4 2 3 4" xfId="4597"/>
    <cellStyle name="제목 4 2 4 2" xfId="4598"/>
    <cellStyle name="제목 4 2 5 5" xfId="4599"/>
    <cellStyle name="제목 4 2 5 2" xfId="4600"/>
    <cellStyle name="제목 4 2 6" xfId="4601"/>
    <cellStyle name="제목 5 2 2 3" xfId="4602"/>
    <cellStyle name="제목 5 3 2" xfId="4603"/>
    <cellStyle name="제목 5 3 2 2" xfId="4604"/>
    <cellStyle name="제목 5 3 3" xfId="4605"/>
    <cellStyle name="제목 5 3 3 2" xfId="4606"/>
    <cellStyle name="제목 5 3 4" xfId="4607"/>
    <cellStyle name="제목 5 4 2" xfId="4608"/>
    <cellStyle name="제목 5 5 5" xfId="4609"/>
    <cellStyle name="제목 5 5 2" xfId="4610"/>
    <cellStyle name="제목 5 6" xfId="4611"/>
    <cellStyle name="좋음 2 2 2 3" xfId="4612"/>
    <cellStyle name="좋음 2 3 2" xfId="4613"/>
    <cellStyle name="좋음 2 3 2 2" xfId="4614"/>
    <cellStyle name="좋음 2 3 3" xfId="4615"/>
    <cellStyle name="좋음 2 3 3 2" xfId="4616"/>
    <cellStyle name="좋음 2 3 4" xfId="4617"/>
    <cellStyle name="좋음 2 4 2" xfId="4618"/>
    <cellStyle name="좋음 2 5 5" xfId="4619"/>
    <cellStyle name="좋음 2 5 2" xfId="4620"/>
    <cellStyle name="좋음 2 6" xfId="4621"/>
    <cellStyle name="출력 2 2 2 3" xfId="4622"/>
    <cellStyle name="출력 2 3 2" xfId="4623"/>
    <cellStyle name="출력 2 3 2 2" xfId="4624"/>
    <cellStyle name="출력 2 3 3" xfId="4625"/>
    <cellStyle name="출력 2 3 3 2" xfId="4626"/>
    <cellStyle name="출력 2 3 4" xfId="4627"/>
    <cellStyle name="출력 2 4 2" xfId="4628"/>
    <cellStyle name="출력 2 5 5" xfId="4629"/>
    <cellStyle name="출력 2 5 2" xfId="4630"/>
    <cellStyle name="출력 2 6" xfId="4631"/>
    <cellStyle name="표준 10 2 2 2 2" xfId="4632"/>
    <cellStyle name="표준 10 2 2 3 2" xfId="4633"/>
    <cellStyle name="표준 10 2 2 4 2" xfId="4634"/>
    <cellStyle name="표준 10 2 2 5" xfId="4635"/>
    <cellStyle name="표준 10 2 3 2 2" xfId="4636"/>
    <cellStyle name="표준 10 2 3 3 2" xfId="4637"/>
    <cellStyle name="표준 10 2 3 4 2" xfId="4638"/>
    <cellStyle name="표준 10 2 3 5" xfId="4639"/>
    <cellStyle name="표준 10 2 4 2" xfId="4640"/>
    <cellStyle name="표준 10 2 5 2" xfId="4641"/>
    <cellStyle name="표준 10 2 6 2" xfId="4642"/>
    <cellStyle name="표준 10 2 7" xfId="4643"/>
    <cellStyle name="표준 10 3 2 2" xfId="4644"/>
    <cellStyle name="표준 10 3 3 2" xfId="4645"/>
    <cellStyle name="표준 10 3 4 2" xfId="4646"/>
    <cellStyle name="표준 10 3 5" xfId="4647"/>
    <cellStyle name="표준 10 4 2" xfId="4648"/>
    <cellStyle name="표준 10 5 2" xfId="4649"/>
    <cellStyle name="표준 10 6 2" xfId="4650"/>
    <cellStyle name="표준 10 7" xfId="4651"/>
    <cellStyle name="표준 11 6 2 2" xfId="4652"/>
    <cellStyle name="표준 11 6 3 2" xfId="4653"/>
    <cellStyle name="표준 11 6 4 2" xfId="4654"/>
    <cellStyle name="표준 11 6 5" xfId="4655"/>
    <cellStyle name="표준 11 7 2" xfId="4656"/>
    <cellStyle name="표준 11 7 3" xfId="4657"/>
    <cellStyle name="표준 12 6 2" xfId="4658"/>
    <cellStyle name="표준 13 3 2 2" xfId="4659"/>
    <cellStyle name="표준 13 3 3 2" xfId="4660"/>
    <cellStyle name="표준 13 3 4 2" xfId="4661"/>
    <cellStyle name="표준 13 3 5" xfId="4662"/>
    <cellStyle name="표준 14 2 2" xfId="4663"/>
    <cellStyle name="표준 14 3 2" xfId="4664"/>
    <cellStyle name="표준 14 4 2" xfId="4665"/>
    <cellStyle name="표준 14 5" xfId="4666"/>
    <cellStyle name="표준 15 2 2" xfId="4667"/>
    <cellStyle name="표준 15 3 2" xfId="4668"/>
    <cellStyle name="표준 15 4 2" xfId="4669"/>
    <cellStyle name="표준 15 5" xfId="4670"/>
    <cellStyle name="표준 17 2 3" xfId="4671"/>
    <cellStyle name="표준 18 10 2" xfId="4672"/>
    <cellStyle name="표준 18 11" xfId="4673"/>
    <cellStyle name="표준 18 2 2 2" xfId="4674"/>
    <cellStyle name="표준 18 2 3 2" xfId="4675"/>
    <cellStyle name="표준 18 2 4 2" xfId="4676"/>
    <cellStyle name="표준 18 2 5 4" xfId="4677"/>
    <cellStyle name="표준 18 3 10" xfId="4678"/>
    <cellStyle name="표준 18 3 2 2 2 2" xfId="4679"/>
    <cellStyle name="표준 18 3 2 3 2" xfId="4680"/>
    <cellStyle name="표준 18 3 2 4 2" xfId="4681"/>
    <cellStyle name="표준 18 3 2 5" xfId="4682"/>
    <cellStyle name="표준 18 3 4 2 2" xfId="4683"/>
    <cellStyle name="표준 18 3 4 3 2" xfId="4684"/>
    <cellStyle name="표준 18 3 4 4 2" xfId="4685"/>
    <cellStyle name="표준 18 3 4 5" xfId="4686"/>
    <cellStyle name="표준 18 3 6 2 2" xfId="4687"/>
    <cellStyle name="표준 18 3 6 3 2" xfId="4688"/>
    <cellStyle name="표준 18 3 6 4 2" xfId="4689"/>
    <cellStyle name="표준 18 3 6 5" xfId="4690"/>
    <cellStyle name="표준 18 3 7 2" xfId="4691"/>
    <cellStyle name="표준 18 3 8 2" xfId="4692"/>
    <cellStyle name="표준 18 3 9 2" xfId="4693"/>
    <cellStyle name="표준 18 4 2 2" xfId="4694"/>
    <cellStyle name="표준 18 4 3 2" xfId="4695"/>
    <cellStyle name="표준 18 4 4 2" xfId="4696"/>
    <cellStyle name="표준 18 4 5" xfId="4697"/>
    <cellStyle name="표준 18 6 2 2" xfId="4698"/>
    <cellStyle name="표준 18 6 3 2" xfId="4699"/>
    <cellStyle name="표준 18 6 4 2" xfId="4700"/>
    <cellStyle name="표준 18 6 5" xfId="4701"/>
    <cellStyle name="표준 18 7 2 2" xfId="4702"/>
    <cellStyle name="표준 18 7 3 2" xfId="4703"/>
    <cellStyle name="표준 18 7 4 2" xfId="4704"/>
    <cellStyle name="표준 18 7 5" xfId="4705"/>
    <cellStyle name="표준 18 8 2" xfId="4706"/>
    <cellStyle name="표준 18 9 2" xfId="4707"/>
    <cellStyle name="표준 19 2 2 2 2" xfId="4708"/>
    <cellStyle name="표준 19 2 2 3 2" xfId="4709"/>
    <cellStyle name="표준 19 2 2 4 2" xfId="4710"/>
    <cellStyle name="표준 19 2 2 5" xfId="4711"/>
    <cellStyle name="표준 19 2 3 2 2" xfId="4712"/>
    <cellStyle name="표준 19 2 3 3 2" xfId="4713"/>
    <cellStyle name="표준 19 2 3 4 2" xfId="4714"/>
    <cellStyle name="표준 19 2 3 5" xfId="4715"/>
    <cellStyle name="표준 19 2 4 2 2" xfId="4716"/>
    <cellStyle name="표준 19 2 4 3 2" xfId="4717"/>
    <cellStyle name="표준 19 2 4 4" xfId="4718"/>
    <cellStyle name="표준 19 2 5 2" xfId="4719"/>
    <cellStyle name="표준 19 2 6 2" xfId="4720"/>
    <cellStyle name="표준 19 2 7" xfId="4721"/>
    <cellStyle name="표준 19 4 2 3" xfId="4722"/>
    <cellStyle name="표준 19 5 2" xfId="4723"/>
    <cellStyle name="표준 19 6 2" xfId="4724"/>
    <cellStyle name="표준 19 7 2" xfId="4725"/>
    <cellStyle name="표준 19 8" xfId="4726"/>
    <cellStyle name="표준 2 10 2 3" xfId="4727"/>
    <cellStyle name="표준 2 11" xfId="4728"/>
    <cellStyle name="표준 2 11 2" xfId="4729"/>
    <cellStyle name="표준 2 12" xfId="4730"/>
    <cellStyle name="표준 2 2 3 2 2" xfId="4731"/>
    <cellStyle name="표준 2 2 3 3 2" xfId="4732"/>
    <cellStyle name="표준 2 2 3 4 2" xfId="4733"/>
    <cellStyle name="표준 2 2 3 5" xfId="4734"/>
    <cellStyle name="표준 2 3 2 3 2 2" xfId="4735"/>
    <cellStyle name="표준 2 3 2 3 3 2" xfId="4736"/>
    <cellStyle name="표준 2 3 2 3 4 2" xfId="4737"/>
    <cellStyle name="표준 2 3 2 3 5" xfId="4738"/>
    <cellStyle name="표준 2 3 3 2 2" xfId="4739"/>
    <cellStyle name="표준 2 3 3 3 2" xfId="4740"/>
    <cellStyle name="표준 2 3 3 4 2" xfId="4741"/>
    <cellStyle name="표준 2 3 3 5 4" xfId="4742"/>
    <cellStyle name="표준 2 3 4 2" xfId="4743"/>
    <cellStyle name="표준 2 3 5 2" xfId="4744"/>
    <cellStyle name="표준 2 3 6 2" xfId="4745"/>
    <cellStyle name="표준 2 3 7" xfId="4746"/>
    <cellStyle name="표준 2 4 2 2 2" xfId="4747"/>
    <cellStyle name="표준 2 4 2 3 2" xfId="4748"/>
    <cellStyle name="표준 2 4 2 4 2" xfId="4749"/>
    <cellStyle name="표준 2 4 2 5" xfId="4750"/>
    <cellStyle name="표준 2 4 4 2 2" xfId="4751"/>
    <cellStyle name="표준 2 4 4 3 2" xfId="4752"/>
    <cellStyle name="표준 2 4 4 4 2" xfId="4753"/>
    <cellStyle name="표준 2 4 4 5" xfId="4754"/>
    <cellStyle name="표준 2 4 5 2" xfId="4755"/>
    <cellStyle name="표준 2 4 6 2" xfId="4756"/>
    <cellStyle name="표준 2 4 7 2" xfId="4757"/>
    <cellStyle name="표준 2 4 8" xfId="4758"/>
    <cellStyle name="표준 2 5 2 2 2" xfId="4759"/>
    <cellStyle name="표준 2 5 2 3 2" xfId="4760"/>
    <cellStyle name="표준 2 5 2 4 3" xfId="4761"/>
    <cellStyle name="표준 2 5 3 2" xfId="4762"/>
    <cellStyle name="표준 2 5 3 2 2" xfId="4763"/>
    <cellStyle name="표준 2 5 3 3" xfId="4764"/>
    <cellStyle name="표준 2 5 4 2" xfId="4765"/>
    <cellStyle name="표준 2 5 5 2" xfId="4766"/>
    <cellStyle name="표준 2 5 6 3" xfId="4767"/>
    <cellStyle name="표준 2 6 2 2" xfId="4768"/>
    <cellStyle name="표준 2 6 2 2 2" xfId="4769"/>
    <cellStyle name="표준 2 6 2 3" xfId="4770"/>
    <cellStyle name="표준 2 6 2 3 2" xfId="4771"/>
    <cellStyle name="표준 2 6 2 4" xfId="4772"/>
    <cellStyle name="표준 2 6 3 2" xfId="4773"/>
    <cellStyle name="표준 2 6 3 2 2" xfId="4774"/>
    <cellStyle name="표준 2 6 3 3" xfId="4775"/>
    <cellStyle name="표준 2 6 4 2" xfId="4776"/>
    <cellStyle name="표준 2 6 5 2" xfId="4777"/>
    <cellStyle name="표준 2 6 6 3" xfId="4778"/>
    <cellStyle name="표준 2 7 2 2" xfId="4779"/>
    <cellStyle name="표준 2 7 2 2 2" xfId="4780"/>
    <cellStyle name="표준 2 7 2 3" xfId="4781"/>
    <cellStyle name="표준 2 7 2 3 2" xfId="4782"/>
    <cellStyle name="표준 2 7 2 4" xfId="4783"/>
    <cellStyle name="표준 2 7 3 2" xfId="4784"/>
    <cellStyle name="표준 2 7 3 2 2" xfId="4785"/>
    <cellStyle name="표준 2 7 3 3" xfId="4786"/>
    <cellStyle name="표준 2 7 4 2" xfId="4787"/>
    <cellStyle name="표준 2 7 5 2" xfId="4788"/>
    <cellStyle name="표준 2 7 6" xfId="4789"/>
    <cellStyle name="표준 2 8 2 2" xfId="4790"/>
    <cellStyle name="표준 2 8 2 2 2" xfId="4791"/>
    <cellStyle name="표준 2 8 2 3" xfId="4792"/>
    <cellStyle name="표준 2 8 3 4" xfId="4793"/>
    <cellStyle name="표준 2 8 3 2" xfId="4794"/>
    <cellStyle name="표준 2 8 3 2 2" xfId="4795"/>
    <cellStyle name="표준 2 9 2" xfId="4796"/>
    <cellStyle name="표준 2 9 2 2" xfId="4797"/>
    <cellStyle name="표준 2 9 3" xfId="4798"/>
    <cellStyle name="표준 20 10 2" xfId="4799"/>
    <cellStyle name="표준 20 10 2 2" xfId="4800"/>
    <cellStyle name="표준 20 10 3" xfId="4801"/>
    <cellStyle name="표준 20 10 3 2" xfId="4802"/>
    <cellStyle name="표준 20 10 4" xfId="4803"/>
    <cellStyle name="표준 20 11 2" xfId="4804"/>
    <cellStyle name="표준 20 12 2" xfId="4805"/>
    <cellStyle name="표준 20 13" xfId="4806"/>
    <cellStyle name="표준 20 13 2" xfId="4807"/>
    <cellStyle name="표준 20 14" xfId="4808"/>
    <cellStyle name="표준 20 2 3 2 2" xfId="4809"/>
    <cellStyle name="표준 20 2 3 3 2" xfId="4810"/>
    <cellStyle name="표준 20 2 3 4 2" xfId="4811"/>
    <cellStyle name="표준 20 2 3 5" xfId="4812"/>
    <cellStyle name="표준 20 2 4 2 2" xfId="4813"/>
    <cellStyle name="표준 20 2 4 3 2" xfId="4814"/>
    <cellStyle name="표준 20 2 4 4" xfId="4815"/>
    <cellStyle name="표준 20 2 5 2" xfId="4816"/>
    <cellStyle name="표준 20 2 6 2" xfId="4817"/>
    <cellStyle name="표준 20 2 7" xfId="4818"/>
    <cellStyle name="표준 20 3 2 2" xfId="4819"/>
    <cellStyle name="표준 20 3 3 2" xfId="4820"/>
    <cellStyle name="표준 20 3 4 2" xfId="4821"/>
    <cellStyle name="표준 20 3 5" xfId="4822"/>
    <cellStyle name="표준 20 4 2 2" xfId="4823"/>
    <cellStyle name="표준 20 4 3 2" xfId="4824"/>
    <cellStyle name="표준 20 4 4 2" xfId="4825"/>
    <cellStyle name="표준 20 4 5" xfId="4826"/>
    <cellStyle name="표준 20 5 2 2" xfId="4827"/>
    <cellStyle name="표준 20 5 3 2" xfId="4828"/>
    <cellStyle name="표준 20 5 4 2" xfId="4829"/>
    <cellStyle name="표준 20 5 5" xfId="4830"/>
    <cellStyle name="표준 20 6 2 2 2" xfId="4831"/>
    <cellStyle name="표준 20 6 2 3" xfId="4832"/>
    <cellStyle name="표준 20 6 3 2" xfId="4833"/>
    <cellStyle name="표준 20 6 4 2" xfId="4834"/>
    <cellStyle name="표준 20 6 5" xfId="4835"/>
    <cellStyle name="표준 20 7 2 2" xfId="4836"/>
    <cellStyle name="표준 20 7 3 2" xfId="4837"/>
    <cellStyle name="표준 20 7 4 2" xfId="4838"/>
    <cellStyle name="표준 20 7 5" xfId="4839"/>
    <cellStyle name="표준 20 8 2 2" xfId="4840"/>
    <cellStyle name="표준 20 8 3 2" xfId="4841"/>
    <cellStyle name="표준 20 8 4 2" xfId="4842"/>
    <cellStyle name="표준 20 8 5" xfId="4843"/>
    <cellStyle name="표준 20 9 2 2" xfId="4844"/>
    <cellStyle name="표준 20 9 3 2" xfId="4845"/>
    <cellStyle name="표준 20 9 4 2" xfId="4846"/>
    <cellStyle name="표준 20 9 5" xfId="4847"/>
    <cellStyle name="표준 21 2 2 2 2" xfId="4848"/>
    <cellStyle name="표준 21 2 2 2 2 2" xfId="4849"/>
    <cellStyle name="표준 21 2 2 2 3" xfId="4850"/>
    <cellStyle name="표준 21 2 2 2 3 2" xfId="4851"/>
    <cellStyle name="표준 21 2 2 2 4" xfId="4852"/>
    <cellStyle name="표준 21 2 2 3 2 2" xfId="4853"/>
    <cellStyle name="표준 21 2 2 3 3" xfId="4854"/>
    <cellStyle name="표준 21 2 2 4 2" xfId="4855"/>
    <cellStyle name="표준 21 2 2 5 2" xfId="4856"/>
    <cellStyle name="표준 21 2 2 6" xfId="4857"/>
    <cellStyle name="표준 21 2 3 2 2" xfId="4858"/>
    <cellStyle name="표준 21 2 3 3" xfId="4859"/>
    <cellStyle name="표준 21 2 4 2" xfId="4860"/>
    <cellStyle name="표준 21 2 5 2" xfId="4861"/>
    <cellStyle name="표준 21 2 6" xfId="4862"/>
    <cellStyle name="표준 21 3 2 2" xfId="4863"/>
    <cellStyle name="표준 21 3 3 2" xfId="4864"/>
    <cellStyle name="표준 21 3 4 2" xfId="4865"/>
    <cellStyle name="표준 21 3 5" xfId="4866"/>
    <cellStyle name="표준 21 4 2 2" xfId="4867"/>
    <cellStyle name="표준 21 4 3 2" xfId="4868"/>
    <cellStyle name="표준 21 4 4 2" xfId="4869"/>
    <cellStyle name="표준 21 4 5" xfId="4870"/>
    <cellStyle name="표준 21 5 2" xfId="4871"/>
    <cellStyle name="표준 21 5 2 2" xfId="4872"/>
    <cellStyle name="표준 21 5 3" xfId="4873"/>
    <cellStyle name="표준 21 5 4" xfId="4874"/>
    <cellStyle name="표준 21 6 2" xfId="4875"/>
    <cellStyle name="표준 21 7 2" xfId="4876"/>
    <cellStyle name="표준 21 8" xfId="4877"/>
    <cellStyle name="표준 23 2 2 2 2" xfId="4878"/>
    <cellStyle name="표준 23 2 2 3" xfId="4879"/>
    <cellStyle name="표준 23 2 3 2" xfId="4880"/>
    <cellStyle name="표준 23 2 4 2" xfId="4881"/>
    <cellStyle name="표준 23 2 5" xfId="4882"/>
    <cellStyle name="표준 23 3 2 2" xfId="4883"/>
    <cellStyle name="표준 23 3 3" xfId="4884"/>
    <cellStyle name="표준 23 3 3 2" xfId="4885"/>
    <cellStyle name="표준 23 3 4" xfId="4886"/>
    <cellStyle name="표준 23 3 5" xfId="4887"/>
    <cellStyle name="표준 23 4 2" xfId="4888"/>
    <cellStyle name="표준 23 4 2 2" xfId="4889"/>
    <cellStyle name="표준 23 4 2 2 2" xfId="4890"/>
    <cellStyle name="표준 23 4 2 3" xfId="4891"/>
    <cellStyle name="표준 23 4 3" xfId="4892"/>
    <cellStyle name="표준 23 4 3 2" xfId="4893"/>
    <cellStyle name="표준 23 4 4" xfId="4894"/>
    <cellStyle name="표준 23 5 2" xfId="4895"/>
    <cellStyle name="표준 23 6" xfId="4896"/>
    <cellStyle name="표준 24 10 2" xfId="4897"/>
    <cellStyle name="표준 24 11" xfId="4898"/>
    <cellStyle name="표준 24 2 10" xfId="4899"/>
    <cellStyle name="표준 24 2 2 2 2" xfId="4900"/>
    <cellStyle name="표준 24 2 2 3 2" xfId="4901"/>
    <cellStyle name="표준 24 2 2 4 2" xfId="4902"/>
    <cellStyle name="표준 24 2 2 5" xfId="4903"/>
    <cellStyle name="표준 24 2 5 2 2" xfId="4904"/>
    <cellStyle name="표준 24 2 5 3 2" xfId="4905"/>
    <cellStyle name="표준 24 2 5 4 2" xfId="4906"/>
    <cellStyle name="표준 24 2 5 5" xfId="4907"/>
    <cellStyle name="표준 24 2 6 2 2" xfId="4908"/>
    <cellStyle name="표준 24 2 6 3 2" xfId="4909"/>
    <cellStyle name="표준 24 2 6 4 2" xfId="4910"/>
    <cellStyle name="표준 24 2 6 5" xfId="4911"/>
    <cellStyle name="표준 24 2 7 2" xfId="4912"/>
    <cellStyle name="표준 24 2 8 2" xfId="4913"/>
    <cellStyle name="표준 24 2 9 2" xfId="4914"/>
    <cellStyle name="표준 24 3 2 2 2" xfId="4915"/>
    <cellStyle name="표준 24 3 3 2" xfId="4916"/>
    <cellStyle name="표준 24 3 4 2" xfId="4917"/>
    <cellStyle name="표준 24 3 5" xfId="4918"/>
    <cellStyle name="표준 24 8 2 2" xfId="4919"/>
    <cellStyle name="표준 25 2 2 2" xfId="4920"/>
    <cellStyle name="표준 25 2 3 2" xfId="4921"/>
    <cellStyle name="표준 25 2 4 2" xfId="4922"/>
    <cellStyle name="표준 25 2 5" xfId="4923"/>
    <cellStyle name="표준 25 3 2 2" xfId="4924"/>
    <cellStyle name="표준 25 4 2" xfId="4925"/>
    <cellStyle name="표준 25 5 2" xfId="4926"/>
    <cellStyle name="표준 25 6" xfId="4927"/>
    <cellStyle name="표준 26 10 2" xfId="4928"/>
    <cellStyle name="표준 26 11 2" xfId="4929"/>
    <cellStyle name="표준 26 12" xfId="4930"/>
    <cellStyle name="표준 26 2 3 2 2" xfId="4931"/>
    <cellStyle name="표준 26 2 3 3 2" xfId="4932"/>
    <cellStyle name="표준 26 2 3 4 2" xfId="4933"/>
    <cellStyle name="표준 26 2 3 5" xfId="4934"/>
    <cellStyle name="표준 26 2 4 2 2" xfId="4935"/>
    <cellStyle name="표준 26 2 4 3 2" xfId="4936"/>
    <cellStyle name="표준 26 2 4 4 2" xfId="4937"/>
    <cellStyle name="표준 26 2 4 5" xfId="4938"/>
    <cellStyle name="표준 26 2 5 2" xfId="4939"/>
    <cellStyle name="표준 26 2 6 2" xfId="4940"/>
    <cellStyle name="표준 26 2 7 2" xfId="4941"/>
    <cellStyle name="표준 26 2 8" xfId="4942"/>
    <cellStyle name="표준 26 3 2 2" xfId="4943"/>
    <cellStyle name="표준 26 3 3 2" xfId="4944"/>
    <cellStyle name="표준 26 3 4 2" xfId="4945"/>
    <cellStyle name="표준 26 3 5" xfId="4946"/>
    <cellStyle name="표준 26 4 2 2 2" xfId="4947"/>
    <cellStyle name="표준 26 4 2 3 2" xfId="4948"/>
    <cellStyle name="표준 26 4 2 4 2" xfId="4949"/>
    <cellStyle name="표준 26 4 2 5" xfId="4950"/>
    <cellStyle name="표준 26 4 3 2" xfId="4951"/>
    <cellStyle name="표준 26 4 4 2" xfId="4952"/>
    <cellStyle name="표준 26 4 5 2" xfId="4953"/>
    <cellStyle name="표준 26 4 6" xfId="4954"/>
    <cellStyle name="표준 26 5 2 2" xfId="4955"/>
    <cellStyle name="표준 26 5 3 2" xfId="4956"/>
    <cellStyle name="표준 26 5 4 2" xfId="4957"/>
    <cellStyle name="표준 26 5 5" xfId="4958"/>
    <cellStyle name="표준 26 6 2 2" xfId="4959"/>
    <cellStyle name="표준 26 6 3 2" xfId="4960"/>
    <cellStyle name="표준 26 6 4 2" xfId="4961"/>
    <cellStyle name="표준 26 6 5" xfId="4962"/>
    <cellStyle name="표준 26 7 2 2 2" xfId="4963"/>
    <cellStyle name="표준 26 7 2 3" xfId="4964"/>
    <cellStyle name="표준 26 7 3 2" xfId="4965"/>
    <cellStyle name="표준 26 7 4 2" xfId="4966"/>
    <cellStyle name="표준 26 7 5" xfId="4967"/>
    <cellStyle name="표준 26 8 2 2" xfId="4968"/>
    <cellStyle name="표준 26 8 3 2" xfId="4969"/>
    <cellStyle name="표준 26 8 4 2" xfId="4970"/>
    <cellStyle name="표준 26 8 5" xfId="4971"/>
    <cellStyle name="표준 26 9 2" xfId="4972"/>
    <cellStyle name="표준 27 10 2" xfId="4973"/>
    <cellStyle name="표준 27 11" xfId="4974"/>
    <cellStyle name="표준 27 2 2 2" xfId="4975"/>
    <cellStyle name="표준 27 2 3 2" xfId="4976"/>
    <cellStyle name="표준 27 2 4 2" xfId="4977"/>
    <cellStyle name="표준 27 2 5" xfId="4978"/>
    <cellStyle name="표준 27 3 2 2" xfId="4979"/>
    <cellStyle name="표준 27 3 3 2" xfId="4980"/>
    <cellStyle name="표준 27 3 4 2" xfId="4981"/>
    <cellStyle name="표준 27 3 5" xfId="4982"/>
    <cellStyle name="표준 27 4 2 2" xfId="4983"/>
    <cellStyle name="표준 27 4 3 2" xfId="4984"/>
    <cellStyle name="표준 27 4 4 2" xfId="4985"/>
    <cellStyle name="표준 27 4 5" xfId="4986"/>
    <cellStyle name="표준 27 5 2 2" xfId="4987"/>
    <cellStyle name="표준 27 5 3 2" xfId="4988"/>
    <cellStyle name="표준 27 5 4 2" xfId="4989"/>
    <cellStyle name="표준 27 5 5" xfId="4990"/>
    <cellStyle name="표준 27 6 2 2" xfId="4991"/>
    <cellStyle name="표준 27 6 2 2 2" xfId="4992"/>
    <cellStyle name="표준 27 6 2 3" xfId="4993"/>
    <cellStyle name="표준 27 6 2 4" xfId="4994"/>
    <cellStyle name="표준 27 6 3 2" xfId="4995"/>
    <cellStyle name="표준 27 6 4 2" xfId="4996"/>
    <cellStyle name="표준 27 6 5" xfId="4997"/>
    <cellStyle name="표준 27 8 2" xfId="4998"/>
    <cellStyle name="표준 27 9 2" xfId="4999"/>
    <cellStyle name="표준 28 2 2 2" xfId="5000"/>
    <cellStyle name="표준 28 2 3 2" xfId="5001"/>
    <cellStyle name="표준 28 2 4 2" xfId="5002"/>
    <cellStyle name="표준 28 2 5" xfId="5003"/>
    <cellStyle name="표준 28 3 3 2" xfId="5004"/>
    <cellStyle name="표준 28 3 3 3" xfId="5005"/>
    <cellStyle name="표준 28 3 3 3 2" xfId="5006"/>
    <cellStyle name="표준 28 4 3 2 2" xfId="5007"/>
    <cellStyle name="표준 28 4 3 3 2" xfId="5008"/>
    <cellStyle name="표준 28 4 3 4 2" xfId="5009"/>
    <cellStyle name="표준 28 4 3 5" xfId="5010"/>
    <cellStyle name="표준 28 4 4 2 2" xfId="5011"/>
    <cellStyle name="표준 28 4 4 3 2" xfId="5012"/>
    <cellStyle name="표준 28 4 4 4 2" xfId="5013"/>
    <cellStyle name="표준 28 4 4 5" xfId="5014"/>
    <cellStyle name="표준 28 4 5 2" xfId="5015"/>
    <cellStyle name="표준 28 4 6 2" xfId="5016"/>
    <cellStyle name="표준 28 4 7 2" xfId="5017"/>
    <cellStyle name="표준 28 4 8" xfId="5018"/>
    <cellStyle name="표준 29 3 2 2" xfId="5019"/>
    <cellStyle name="표준 29 3 3 2" xfId="5020"/>
    <cellStyle name="표준 29 3 3 2 2" xfId="5021"/>
    <cellStyle name="표준 29 3 3 3" xfId="5022"/>
    <cellStyle name="표준 29 3 3 3 2" xfId="5023"/>
    <cellStyle name="표준 29 3 3 4" xfId="5024"/>
    <cellStyle name="표준 29 3 4 2" xfId="5025"/>
    <cellStyle name="표준 29 3 5" xfId="5026"/>
    <cellStyle name="표준 29 4 2 2 2" xfId="5027"/>
    <cellStyle name="표준 29 4 2 3 2" xfId="5028"/>
    <cellStyle name="표준 29 4 2 4 2" xfId="5029"/>
    <cellStyle name="표준 29 4 2 5" xfId="5030"/>
    <cellStyle name="표준 29 4 3 2 2" xfId="5031"/>
    <cellStyle name="표준 29 4 3 3 2" xfId="5032"/>
    <cellStyle name="표준 29 4 3 4 2" xfId="5033"/>
    <cellStyle name="표준 29 4 3 5" xfId="5034"/>
    <cellStyle name="표준 29 4 5 2" xfId="5035"/>
    <cellStyle name="표준 29 4 6 2" xfId="5036"/>
    <cellStyle name="표준 29 4 7 2" xfId="5037"/>
    <cellStyle name="표준 29 4 8" xfId="5038"/>
    <cellStyle name="표준 29 5 2" xfId="5039"/>
    <cellStyle name="표준 29 6 2" xfId="5040"/>
    <cellStyle name="표준 29 7 2" xfId="5041"/>
    <cellStyle name="표준 29 8" xfId="5042"/>
    <cellStyle name="표준 3 10 2" xfId="5043"/>
    <cellStyle name="표준 3 10 3" xfId="5044"/>
    <cellStyle name="표준 3 10 3 2" xfId="5045"/>
    <cellStyle name="표준 3 11 2" xfId="5046"/>
    <cellStyle name="표준 3 2 2 4 2 2" xfId="5047"/>
    <cellStyle name="표준 3 2 2 4 3 2" xfId="5048"/>
    <cellStyle name="표준 3 2 2 4 4 2" xfId="5049"/>
    <cellStyle name="표준 3 2 2 4 5" xfId="5050"/>
    <cellStyle name="표준 3 2 3 2 2" xfId="5051"/>
    <cellStyle name="표준 3 2 3 3 2" xfId="5052"/>
    <cellStyle name="표준 3 2 3 4 2" xfId="5053"/>
    <cellStyle name="표준 3 2 3 5" xfId="5054"/>
    <cellStyle name="표준 3 2 4 2 2 2" xfId="5055"/>
    <cellStyle name="표준 3 2 4 2 3 2" xfId="5056"/>
    <cellStyle name="표준 3 2 4 2 4 2" xfId="5057"/>
    <cellStyle name="표준 3 2 4 2 5" xfId="5058"/>
    <cellStyle name="표준 3 2 4 4 2" xfId="5059"/>
    <cellStyle name="표준 3 2 4 5 2" xfId="5060"/>
    <cellStyle name="표준 3 2 4 6 2" xfId="5061"/>
    <cellStyle name="표준 3 2 4 7" xfId="5062"/>
    <cellStyle name="표준 3 2 5 2 3" xfId="5063"/>
    <cellStyle name="표준 3 2 6 2 3" xfId="5064"/>
    <cellStyle name="표준 3 2 7 2" xfId="5065"/>
    <cellStyle name="표준 3 2 8 2" xfId="5066"/>
    <cellStyle name="표준 3 2 9" xfId="5067"/>
    <cellStyle name="표준 3 3 2 3 2 2" xfId="5068"/>
    <cellStyle name="표준 3 3 2 3 3 2" xfId="5069"/>
    <cellStyle name="표준 3 3 2 3 4 2" xfId="5070"/>
    <cellStyle name="표준 3 3 2 3 5" xfId="5071"/>
    <cellStyle name="표준 3 3 2 5 2" xfId="5072"/>
    <cellStyle name="표준 3 3 2 6 2" xfId="5073"/>
    <cellStyle name="표준 3 3 2 7 2" xfId="5074"/>
    <cellStyle name="표준 3 3 2 8" xfId="5075"/>
    <cellStyle name="표준 3 4 3 2 2" xfId="5076"/>
    <cellStyle name="표준 3 4 3 3 2" xfId="5077"/>
    <cellStyle name="표준 3 4 3 4 2" xfId="5078"/>
    <cellStyle name="표준 3 4 3 5 4" xfId="5079"/>
    <cellStyle name="표준 3 4 4 2 3" xfId="5080"/>
    <cellStyle name="표준 3 4 5 2" xfId="5081"/>
    <cellStyle name="표준 3 4 6 2" xfId="5082"/>
    <cellStyle name="표준 3 4 7" xfId="5083"/>
    <cellStyle name="표준 3 5 2 3 2 2" xfId="5084"/>
    <cellStyle name="표준 3 5 2 3 3 2" xfId="5085"/>
    <cellStyle name="표준 3 5 2 3 4 2" xfId="5086"/>
    <cellStyle name="표준 3 5 2 3 5" xfId="5087"/>
    <cellStyle name="표준 3 5 2 6 2 2" xfId="5088"/>
    <cellStyle name="표준 3 5 2 8 2" xfId="5089"/>
    <cellStyle name="표준 3 5 2 9" xfId="5090"/>
    <cellStyle name="표준 3 5 4 2 2" xfId="5091"/>
    <cellStyle name="표준 3 5 4 3 2" xfId="5092"/>
    <cellStyle name="표준 3 5 4 4 2" xfId="5093"/>
    <cellStyle name="표준 3 5 4 5" xfId="5094"/>
    <cellStyle name="표준 3 5 5 2" xfId="5095"/>
    <cellStyle name="표준 3 5 6 2" xfId="5096"/>
    <cellStyle name="표준 3 5 7 2" xfId="5097"/>
    <cellStyle name="표준 3 5 8" xfId="5098"/>
    <cellStyle name="표준 3 6 2 2 2" xfId="5099"/>
    <cellStyle name="표준 3 6 2 3 2" xfId="5100"/>
    <cellStyle name="표준 3 6 2 4 2" xfId="5101"/>
    <cellStyle name="표준 3 6 2 5" xfId="5102"/>
    <cellStyle name="표준 3 6 4 2 2" xfId="5103"/>
    <cellStyle name="표준 3 6 4 3 2" xfId="5104"/>
    <cellStyle name="표준 3 6 4 4 2" xfId="5105"/>
    <cellStyle name="표준 3 6 4 5" xfId="5106"/>
    <cellStyle name="표준 3 6 5 2" xfId="5107"/>
    <cellStyle name="표준 3 6 6 2" xfId="5108"/>
    <cellStyle name="표준 3 6 7 2" xfId="5109"/>
    <cellStyle name="표준 3 6 8" xfId="5110"/>
    <cellStyle name="표준 3 7 2 2 2 2" xfId="5111"/>
    <cellStyle name="표준 3 7 2 3 2" xfId="5112"/>
    <cellStyle name="표준 3 7 2 4 2" xfId="5113"/>
    <cellStyle name="표준 3 7 2 5" xfId="5114"/>
    <cellStyle name="표준 3 8 2 2 2" xfId="5115"/>
    <cellStyle name="표준 3 8 2 3 2" xfId="5116"/>
    <cellStyle name="표준 3 8 2 4 2" xfId="5117"/>
    <cellStyle name="표준 3 8 2 5" xfId="5118"/>
    <cellStyle name="표준 3 8 3 2 2" xfId="5119"/>
    <cellStyle name="표준 3 8 3 3 2" xfId="5120"/>
    <cellStyle name="표준 3 8 3 4 2" xfId="5121"/>
    <cellStyle name="표준 3 8 3 5" xfId="5122"/>
    <cellStyle name="표준 3 8 4 2" xfId="5123"/>
    <cellStyle name="표준 3 8 5 2" xfId="5124"/>
    <cellStyle name="표준 3 8 6 2" xfId="5125"/>
    <cellStyle name="표준 3 8 7" xfId="5126"/>
    <cellStyle name="표준 3 9 2 2 2" xfId="5127"/>
    <cellStyle name="표준 3 9 3 2" xfId="5128"/>
    <cellStyle name="표준 3 9 4 2" xfId="5129"/>
    <cellStyle name="표준 3 9 5" xfId="5130"/>
    <cellStyle name="표준 30 2 2" xfId="5131"/>
    <cellStyle name="표준 30 2 2 2" xfId="5132"/>
    <cellStyle name="표준 30 2 3" xfId="5133"/>
    <cellStyle name="표준 30 2 3 2" xfId="5134"/>
    <cellStyle name="표준 30 2 4" xfId="5135"/>
    <cellStyle name="표준 30 3 2" xfId="5136"/>
    <cellStyle name="표준 30 4 2" xfId="5137"/>
    <cellStyle name="표준 30 5" xfId="5138"/>
    <cellStyle name="표준 31 2 2" xfId="5139"/>
    <cellStyle name="표준 31 3 2" xfId="5140"/>
    <cellStyle name="표준 31 4 2" xfId="5141"/>
    <cellStyle name="표준 31 5" xfId="5142"/>
    <cellStyle name="표준 32 2 2" xfId="5143"/>
    <cellStyle name="표준 32 3 2" xfId="5144"/>
    <cellStyle name="표준 32 4 2" xfId="5145"/>
    <cellStyle name="표준 32 5" xfId="5146"/>
    <cellStyle name="표준 33 2 2" xfId="5147"/>
    <cellStyle name="표준 33 3 2" xfId="5148"/>
    <cellStyle name="표준 33 4 2" xfId="5149"/>
    <cellStyle name="표준 33 5" xfId="5150"/>
    <cellStyle name="표준 34 2 2" xfId="5151"/>
    <cellStyle name="표준 34 3 2" xfId="5152"/>
    <cellStyle name="표준 34 4 2" xfId="5153"/>
    <cellStyle name="표준 34 5" xfId="5154"/>
    <cellStyle name="표준 35 2 2 2" xfId="5155"/>
    <cellStyle name="표준 35 2 3 2" xfId="5156"/>
    <cellStyle name="표준 35 2 4 2" xfId="5157"/>
    <cellStyle name="표준 35 2 5" xfId="5158"/>
    <cellStyle name="표준 35 3 2 2" xfId="5159"/>
    <cellStyle name="표준 35 3 3 2" xfId="5160"/>
    <cellStyle name="표준 35 3 4 2" xfId="5161"/>
    <cellStyle name="표준 35 3 5" xfId="5162"/>
    <cellStyle name="표준 35 4 2 2" xfId="5163"/>
    <cellStyle name="표준 35 4 3 2" xfId="5164"/>
    <cellStyle name="표준 35 4 4 2" xfId="5165"/>
    <cellStyle name="표준 35 4 5" xfId="5166"/>
    <cellStyle name="표준 35 5 2" xfId="5167"/>
    <cellStyle name="표준 35 6 2" xfId="5168"/>
    <cellStyle name="표준 35 7 2" xfId="5169"/>
    <cellStyle name="표준 35 8" xfId="5170"/>
    <cellStyle name="표준 36 2 2" xfId="5171"/>
    <cellStyle name="표준 36 3 2" xfId="5172"/>
    <cellStyle name="표준 36 4 2" xfId="5173"/>
    <cellStyle name="표준 36 5" xfId="5174"/>
    <cellStyle name="표준 37 2 2 2" xfId="5175"/>
    <cellStyle name="표준 37 2 3 2" xfId="5176"/>
    <cellStyle name="표준 37 2 4 2" xfId="5177"/>
    <cellStyle name="표준 37 2 5" xfId="5178"/>
    <cellStyle name="표준 37 3 3 2" xfId="5179"/>
    <cellStyle name="표준 37 4 2" xfId="5180"/>
    <cellStyle name="표준 37 5 2 2" xfId="5181"/>
    <cellStyle name="표준 37 7 2" xfId="5182"/>
    <cellStyle name="표준 38 2 2" xfId="5183"/>
    <cellStyle name="표준 38 3 2" xfId="5184"/>
    <cellStyle name="표준 38 4 2" xfId="5185"/>
    <cellStyle name="표준 38 5" xfId="5186"/>
    <cellStyle name="표준 39 2 2 2 2" xfId="5187"/>
    <cellStyle name="표준 39 2 2 3 2" xfId="5188"/>
    <cellStyle name="표준 39 2 2 4" xfId="5189"/>
    <cellStyle name="표준 39 2 3 2 2" xfId="5190"/>
    <cellStyle name="표준 39 2 3 3 2" xfId="5191"/>
    <cellStyle name="표준 39 2 3 4" xfId="5192"/>
    <cellStyle name="표준 39 2 3 4 2" xfId="5193"/>
    <cellStyle name="표준 39 2 3 5" xfId="5194"/>
    <cellStyle name="표준 39 2 4 2" xfId="5195"/>
    <cellStyle name="표준 39 2 5 2" xfId="5196"/>
    <cellStyle name="표준 39 2 6" xfId="5197"/>
    <cellStyle name="표준 39 3 2 2 2" xfId="5198"/>
    <cellStyle name="표준 39 3 2 3" xfId="5199"/>
    <cellStyle name="표준 39 3 4 2" xfId="5200"/>
    <cellStyle name="표준 39 3 5 2" xfId="5201"/>
    <cellStyle name="표준 39 4 2 2" xfId="5202"/>
    <cellStyle name="표준 39 5 2 2" xfId="5203"/>
    <cellStyle name="표준 39 5 2 2 2" xfId="5204"/>
    <cellStyle name="표준 39 5 2 3" xfId="5205"/>
    <cellStyle name="표준 39 5 2 4" xfId="5206"/>
    <cellStyle name="표준 39 5 4" xfId="5207"/>
    <cellStyle name="표준 39 6 2" xfId="5208"/>
    <cellStyle name="표준 39 7" xfId="5209"/>
    <cellStyle name="표준 4 10 2" xfId="5210"/>
    <cellStyle name="표준 4 11 2" xfId="5211"/>
    <cellStyle name="표준 4 12" xfId="5212"/>
    <cellStyle name="표준 4 2 2 2 2 2" xfId="5213"/>
    <cellStyle name="표준 4 2 2 2 3 2" xfId="5214"/>
    <cellStyle name="표준 4 2 2 2 4 2" xfId="5215"/>
    <cellStyle name="표준 4 2 2 2 5" xfId="5216"/>
    <cellStyle name="표준 4 2 2 3 2" xfId="5217"/>
    <cellStyle name="표준 4 2 2 4 2" xfId="5218"/>
    <cellStyle name="표준 4 2 2 5 2" xfId="5219"/>
    <cellStyle name="표준 4 2 2 6" xfId="5220"/>
    <cellStyle name="표준 4 2 3 2 2" xfId="5221"/>
    <cellStyle name="표준 4 2 3 3 2" xfId="5222"/>
    <cellStyle name="표준 4 2 3 4 2" xfId="5223"/>
    <cellStyle name="표준 4 2 3 5" xfId="5224"/>
    <cellStyle name="표준 4 2 4 2 3" xfId="5225"/>
    <cellStyle name="표준 4 2 5 2" xfId="5226"/>
    <cellStyle name="표준 4 2 6 2" xfId="5227"/>
    <cellStyle name="표준 4 2 7" xfId="5228"/>
    <cellStyle name="표준 4 3 2 2" xfId="5229"/>
    <cellStyle name="표준 4 3 3 2" xfId="5230"/>
    <cellStyle name="표준 4 3 4 2" xfId="5231"/>
    <cellStyle name="표준 4 3 5" xfId="5232"/>
    <cellStyle name="표준 4 4 2 2" xfId="5233"/>
    <cellStyle name="표준 4 4 3 2" xfId="5234"/>
    <cellStyle name="표준 4 4 4 2" xfId="5235"/>
    <cellStyle name="표준 4 4 5" xfId="5236"/>
    <cellStyle name="표준 4 5 2 2 2 2" xfId="5237"/>
    <cellStyle name="표준 4 5 2 2 3 2" xfId="5238"/>
    <cellStyle name="표준 4 5 2 2 4 2" xfId="5239"/>
    <cellStyle name="표준 4 5 2 2 5" xfId="5240"/>
    <cellStyle name="표준 4 5 2 4 2 2" xfId="5241"/>
    <cellStyle name="표준 4 5 2 4 3 2" xfId="5242"/>
    <cellStyle name="표준 4 5 2 4 4 2" xfId="5243"/>
    <cellStyle name="표준 4 5 2 4 5" xfId="5244"/>
    <cellStyle name="표준 4 5 2 5 2 2" xfId="5245"/>
    <cellStyle name="표준 4 5 2 5 3 2" xfId="5246"/>
    <cellStyle name="표준 4 5 2 5 4 2" xfId="5247"/>
    <cellStyle name="표준 4 5 2 5 5" xfId="5248"/>
    <cellStyle name="표준 4 5 2 6 3 2" xfId="5249"/>
    <cellStyle name="표준 4 5 2 6 4 2" xfId="5250"/>
    <cellStyle name="표준 4 5 2 6 5" xfId="5251"/>
    <cellStyle name="표준 4 5 2 7 2" xfId="5252"/>
    <cellStyle name="표준 4 5 3 2 2" xfId="5253"/>
    <cellStyle name="표준 4 5 3 3 2" xfId="5254"/>
    <cellStyle name="표준 4 5 3 4 2" xfId="5255"/>
    <cellStyle name="표준 4 5 3 5" xfId="5256"/>
    <cellStyle name="표준 4 6 2 2" xfId="5257"/>
    <cellStyle name="표준 4 6 3 2" xfId="5258"/>
    <cellStyle name="표준 4 6 4 2" xfId="5259"/>
    <cellStyle name="표준 4 6 5" xfId="5260"/>
    <cellStyle name="표준 4 7 2 2" xfId="5261"/>
    <cellStyle name="표준 4 7 3 2" xfId="5262"/>
    <cellStyle name="표준 4 7 4 2" xfId="5263"/>
    <cellStyle name="표준 4 7 5" xfId="5264"/>
    <cellStyle name="표준 4 8 2 2" xfId="5265"/>
    <cellStyle name="표준 4 8 3 2" xfId="5266"/>
    <cellStyle name="표준 4 8 4 2" xfId="5267"/>
    <cellStyle name="표준 4 8 5" xfId="5268"/>
    <cellStyle name="표준 4 9 2" xfId="5269"/>
    <cellStyle name="표준 40 2 2 2" xfId="5270"/>
    <cellStyle name="표준 40 2 2 2 2" xfId="5271"/>
    <cellStyle name="표준 40 2 2 3" xfId="5272"/>
    <cellStyle name="표준 40 2 2 3 2" xfId="5273"/>
    <cellStyle name="표준 40 2 2 4" xfId="5274"/>
    <cellStyle name="표준 40 2 3" xfId="5275"/>
    <cellStyle name="표준 40 2 3 2" xfId="5276"/>
    <cellStyle name="표준 40 2 4" xfId="5277"/>
    <cellStyle name="표준 40 3 2 2" xfId="5278"/>
    <cellStyle name="표준 40 3 3 2" xfId="5279"/>
    <cellStyle name="표준 40 3 4" xfId="5280"/>
    <cellStyle name="표준 40 4 2" xfId="5281"/>
    <cellStyle name="표준 40 5 2" xfId="5282"/>
    <cellStyle name="표준 40 6" xfId="5283"/>
    <cellStyle name="표준 41 2 2" xfId="5284"/>
    <cellStyle name="표준 41 2 2 2" xfId="5285"/>
    <cellStyle name="표준 41 2 3" xfId="5286"/>
    <cellStyle name="표준 41 3 2 2" xfId="5287"/>
    <cellStyle name="표준 41 3 4" xfId="5288"/>
    <cellStyle name="표준 41 4 2" xfId="5289"/>
    <cellStyle name="표준 41 5 2" xfId="5290"/>
    <cellStyle name="표준 41 6" xfId="5291"/>
    <cellStyle name="표준 42 2 2" xfId="5292"/>
    <cellStyle name="표준 42 3 2" xfId="5293"/>
    <cellStyle name="표준 42 4 2" xfId="5294"/>
    <cellStyle name="표준 42 5" xfId="5295"/>
    <cellStyle name="표준 43 2 2" xfId="5296"/>
    <cellStyle name="표준 43 3 5" xfId="5297"/>
    <cellStyle name="표준 43 3 2" xfId="5298"/>
    <cellStyle name="표준 43 4" xfId="5299"/>
    <cellStyle name="표준 43 4 2" xfId="5300"/>
    <cellStyle name="표준 43 5" xfId="5301"/>
    <cellStyle name="표준 43 6" xfId="5302"/>
    <cellStyle name="표준 44 2 2" xfId="5303"/>
    <cellStyle name="표준 44 4" xfId="5304"/>
    <cellStyle name="표준 44 4 2" xfId="5305"/>
    <cellStyle name="표준 44 5" xfId="5306"/>
    <cellStyle name="표준 44 5 2" xfId="5307"/>
    <cellStyle name="표준 44 6" xfId="5308"/>
    <cellStyle name="표준 45 2" xfId="5309"/>
    <cellStyle name="표준 45 2 2" xfId="5310"/>
    <cellStyle name="표준 45 3" xfId="5311"/>
    <cellStyle name="표준 45 3 2" xfId="5312"/>
    <cellStyle name="표준 45 3 3" xfId="5313"/>
    <cellStyle name="표준 45 3 3 2" xfId="5314"/>
    <cellStyle name="표준 45 4" xfId="5315"/>
    <cellStyle name="표준 47 2" xfId="5316"/>
    <cellStyle name="표준 48 2" xfId="5317"/>
    <cellStyle name="표준 49 6" xfId="5318"/>
    <cellStyle name="표준 49 2" xfId="5319"/>
    <cellStyle name="표준 49 2 2" xfId="5320"/>
    <cellStyle name="표준 49 3" xfId="5321"/>
    <cellStyle name="표준 49 3 2" xfId="5322"/>
    <cellStyle name="표준 49 4" xfId="5323"/>
    <cellStyle name="표준 5 2 2 2 4" xfId="5324"/>
    <cellStyle name="표준 5 2 3 2" xfId="5325"/>
    <cellStyle name="표준 5 2 4 2" xfId="5326"/>
    <cellStyle name="표준 5 2 5" xfId="5327"/>
    <cellStyle name="표준 5 3 2" xfId="5328"/>
    <cellStyle name="표준 5 4 2" xfId="5329"/>
    <cellStyle name="표준 5 5 2" xfId="5330"/>
    <cellStyle name="표준 5 6" xfId="5331"/>
    <cellStyle name="표준 50" xfId="5332"/>
    <cellStyle name="표준 50 2" xfId="5333"/>
    <cellStyle name="표준 6 2 2 2 2" xfId="5334"/>
    <cellStyle name="표준 6 2 2 3 2" xfId="5335"/>
    <cellStyle name="표준 6 2 2 4 2" xfId="5336"/>
    <cellStyle name="표준 6 2 2 5" xfId="5337"/>
    <cellStyle name="표준 6 2 3 2 2" xfId="5338"/>
    <cellStyle name="표준 6 2 3 3 2" xfId="5339"/>
    <cellStyle name="표준 6 2 3 4 2" xfId="5340"/>
    <cellStyle name="표준 6 2 3 5" xfId="5341"/>
    <cellStyle name="표준 6 2 4 2" xfId="5342"/>
    <cellStyle name="표준 6 2 5 2" xfId="5343"/>
    <cellStyle name="표준 6 2 6 2" xfId="5344"/>
    <cellStyle name="표준 6 2 7" xfId="5345"/>
    <cellStyle name="표준 6 4 2 2" xfId="5346"/>
    <cellStyle name="표준 6 4 3 2" xfId="5347"/>
    <cellStyle name="표준 6 4 4 2" xfId="5348"/>
    <cellStyle name="표준 6 4 5" xfId="5349"/>
    <cellStyle name="표준 6 5 2 4" xfId="5350"/>
    <cellStyle name="표준 6 5 2 2" xfId="5351"/>
    <cellStyle name="표준 6 5 3" xfId="5352"/>
    <cellStyle name="표준 6 5 3 2" xfId="5353"/>
    <cellStyle name="표준 6 5 4" xfId="5354"/>
    <cellStyle name="표준 6 6 2" xfId="5355"/>
    <cellStyle name="표준 6 7 2" xfId="5356"/>
    <cellStyle name="표준 6 8" xfId="5357"/>
    <cellStyle name="표준 7 2 2" xfId="5358"/>
    <cellStyle name="표준 7 3 2" xfId="5359"/>
    <cellStyle name="표준 7 4 2" xfId="5360"/>
    <cellStyle name="표준 7 5" xfId="5361"/>
    <cellStyle name="표준 8 2 2 2 2" xfId="5362"/>
    <cellStyle name="표준 8 2 2 3 2" xfId="5363"/>
    <cellStyle name="표준 8 2 2 4 2" xfId="5364"/>
    <cellStyle name="표준 8 2 2 5" xfId="5365"/>
    <cellStyle name="표준 8 2 4 2" xfId="5366"/>
    <cellStyle name="표준 8 2 5 2" xfId="5367"/>
    <cellStyle name="표준 8 2 6 2" xfId="5368"/>
    <cellStyle name="표준 8 2 7" xfId="5369"/>
    <cellStyle name="표준 8 3 9" xfId="5370"/>
    <cellStyle name="표준 8 3 2 5" xfId="5371"/>
    <cellStyle name="표준 8 3 3 5" xfId="5372"/>
    <cellStyle name="표준 8 3 4 5" xfId="5373"/>
    <cellStyle name="표준 8 4 2 7" xfId="5374"/>
    <cellStyle name="표준 8 4 2 2" xfId="5375"/>
    <cellStyle name="표준 8 4 3 7" xfId="5376"/>
    <cellStyle name="표준 8 4 3 2" xfId="5377"/>
    <cellStyle name="표준 8 4 4 7" xfId="5378"/>
    <cellStyle name="표준 8 4 4 2" xfId="5379"/>
    <cellStyle name="표준 8 5 7" xfId="5380"/>
    <cellStyle name="표준 8 5 2 3" xfId="5381"/>
    <cellStyle name="표준 8 5 3" xfId="5382"/>
    <cellStyle name="표준 8 5 3 2" xfId="5383"/>
    <cellStyle name="표준 8 6 5" xfId="5384"/>
    <cellStyle name="표준 8 7 5" xfId="5385"/>
    <cellStyle name="표준 9 2 9" xfId="5386"/>
    <cellStyle name="표준 9 2 2 5" xfId="5387"/>
    <cellStyle name="표준 9 2 3 5" xfId="5388"/>
    <cellStyle name="표준 9 2 4 5" xfId="5389"/>
    <cellStyle name="표준 9 3 11" xfId="5390"/>
    <cellStyle name="표준 9 3 2 7" xfId="5391"/>
    <cellStyle name="표준 9 3 2 2" xfId="5392"/>
    <cellStyle name="표준 9 3 3 7" xfId="5393"/>
    <cellStyle name="표준 9 3 3 2" xfId="5394"/>
    <cellStyle name="표준 9 3 4 7" xfId="5395"/>
    <cellStyle name="표준 9 3 4 2" xfId="5396"/>
    <cellStyle name="표준 9 3 5" xfId="5397"/>
    <cellStyle name="표준 9 4 2 2" xfId="5398"/>
    <cellStyle name="표준 9 4 3 2" xfId="5399"/>
    <cellStyle name="표준 9 4 4 2" xfId="5400"/>
    <cellStyle name="표준 9 4 5 3" xfId="5401"/>
    <cellStyle name="표준 9 5 7" xfId="5402"/>
    <cellStyle name="표준 9 5 2" xfId="5403"/>
    <cellStyle name="표준 9 6 7" xfId="5404"/>
    <cellStyle name="표준 9 6 2" xfId="5405"/>
    <cellStyle name="표준 9 7 7" xfId="5406"/>
    <cellStyle name="표준 9 7 2" xfId="5407"/>
    <cellStyle name="표준 9 8" xfId="5408"/>
    <cellStyle name="Note 2 12" xfId="5409"/>
    <cellStyle name="Note 2 2 11" xfId="5410"/>
    <cellStyle name="Note 3 12" xfId="5411"/>
    <cellStyle name="Note 3 2 11" xfId="5412"/>
    <cellStyle name="Note 4 12" xfId="5413"/>
    <cellStyle name="Note 4 2 11" xfId="5414"/>
    <cellStyle name="쉼표 2 2 2" xfId="5415"/>
    <cellStyle name="쉼표 2 3 2" xfId="5416"/>
    <cellStyle name="쉼표 2 4 2" xfId="5417"/>
    <cellStyle name="쉼표 2 5" xfId="5418"/>
    <cellStyle name="쉼표 3 2 2" xfId="5419"/>
    <cellStyle name="쉼표 3 3 2" xfId="5420"/>
    <cellStyle name="쉼표 3 4 2" xfId="5421"/>
    <cellStyle name="쉼표 3 5" xfId="5422"/>
    <cellStyle name="쉼표 4 2 2" xfId="5423"/>
    <cellStyle name="쉼표 4 3 2" xfId="5424"/>
    <cellStyle name="쉼표 4 4 2" xfId="5425"/>
    <cellStyle name="쉼표 4 5" xfId="5426"/>
    <cellStyle name="표준 43 2 3" xfId="5427"/>
    <cellStyle name="표준 43 2 2 2" xfId="5428"/>
    <cellStyle name="표준 51 3" xfId="5429"/>
    <cellStyle name="표준 52 3" xfId="5430"/>
    <cellStyle name="표준 53" xfId="5431"/>
    <cellStyle name="표준 55" xfId="5432"/>
    <cellStyle name="표준 8 3 5" xfId="5433"/>
    <cellStyle name="표준 8 3 2 2" xfId="5434"/>
    <cellStyle name="표준 8 3 3 2" xfId="5435"/>
    <cellStyle name="표준 8 3 4 2" xfId="5436"/>
    <cellStyle name="표준 8 4 6" xfId="5437"/>
    <cellStyle name="표준 8 4 2 3" xfId="5438"/>
    <cellStyle name="표준 8 4 3 3" xfId="5439"/>
    <cellStyle name="표준 8 4 4 3" xfId="5440"/>
    <cellStyle name="표준 8 5 4" xfId="5441"/>
    <cellStyle name="표준 8 5 2 2" xfId="5442"/>
    <cellStyle name="표준 8 5 3 3" xfId="5443"/>
    <cellStyle name="표준 8 6 2" xfId="5444"/>
    <cellStyle name="표준 8 7 2" xfId="5445"/>
    <cellStyle name="표준 9 9" xfId="5446"/>
    <cellStyle name="표준 9 2 5" xfId="5447"/>
    <cellStyle name="표준 9 2 2 2" xfId="5448"/>
    <cellStyle name="표준 9 2 3 2" xfId="5449"/>
    <cellStyle name="표준 9 2 4 2" xfId="5450"/>
    <cellStyle name="표준 9 3 6" xfId="5451"/>
    <cellStyle name="표준 9 3 2 3" xfId="5452"/>
    <cellStyle name="표준 9 3 3 3" xfId="5453"/>
    <cellStyle name="표준 9 3 4 3" xfId="5454"/>
    <cellStyle name="표준 9 5 3" xfId="5455"/>
    <cellStyle name="표준 9 6 3" xfId="5456"/>
    <cellStyle name="표준 9 7 3" xfId="5457"/>
    <cellStyle name="표준 57" xfId="5458"/>
    <cellStyle name="표준 56" xfId="5459"/>
    <cellStyle name="Note 2 2 2 6 2" xfId="5460"/>
    <cellStyle name="Note 2 2 3 6 2" xfId="5461"/>
    <cellStyle name="Note 2 2 4 6 2" xfId="5462"/>
    <cellStyle name="Note 2 3 6 2" xfId="5463"/>
    <cellStyle name="Note 2 4 6 2" xfId="5464"/>
    <cellStyle name="Note 2 5 6 2" xfId="5465"/>
    <cellStyle name="Note 3 2 2 6 2" xfId="5466"/>
    <cellStyle name="Note 3 2 3 6 2" xfId="5467"/>
    <cellStyle name="Note 3 2 4 6 2" xfId="5468"/>
    <cellStyle name="Note 3 3 6 2" xfId="5469"/>
    <cellStyle name="Note 3 4 6 2" xfId="5470"/>
    <cellStyle name="Note 3 5 6 2" xfId="5471"/>
    <cellStyle name="Note 4 2 2 6 2" xfId="5472"/>
    <cellStyle name="Note 4 2 3 6 2" xfId="5473"/>
    <cellStyle name="Note 4 2 4 6 2" xfId="5474"/>
    <cellStyle name="Note 4 3 6 2" xfId="5475"/>
    <cellStyle name="Note 4 4 6 2" xfId="5476"/>
    <cellStyle name="Note 4 5 6 2" xfId="5477"/>
    <cellStyle name="Note 2 12 2" xfId="5478"/>
    <cellStyle name="Note 2 13" xfId="5479"/>
    <cellStyle name="Note 2 2 11 2" xfId="5480"/>
    <cellStyle name="Note 2 2 12" xfId="5481"/>
    <cellStyle name="Note 2 2 2 6 2 2" xfId="5482"/>
    <cellStyle name="Note 2 2 2 8" xfId="5483"/>
    <cellStyle name="Note 2 2 3 6 2 2" xfId="5484"/>
    <cellStyle name="Note 2 2 3 8" xfId="5485"/>
    <cellStyle name="Note 2 2 4 6 2 2" xfId="5486"/>
    <cellStyle name="Note 2 2 4 8" xfId="5487"/>
    <cellStyle name="Note 2 3 6 2 2" xfId="5488"/>
    <cellStyle name="Note 2 3 8" xfId="5489"/>
    <cellStyle name="Note 2 4 6 2 2" xfId="5490"/>
    <cellStyle name="Note 2 4 8" xfId="5491"/>
    <cellStyle name="Note 2 5 6 2 2" xfId="5492"/>
    <cellStyle name="Note 2 5 8" xfId="5493"/>
    <cellStyle name="Note 3 12 2" xfId="5494"/>
    <cellStyle name="Note 3 13" xfId="5495"/>
    <cellStyle name="Note 3 2 11 2" xfId="5496"/>
    <cellStyle name="Note 3 2 12" xfId="5497"/>
    <cellStyle name="Note 3 2 2 6 2 2" xfId="5498"/>
    <cellStyle name="Note 3 2 2 8" xfId="5499"/>
    <cellStyle name="Note 3 2 3 6 2 2" xfId="5500"/>
    <cellStyle name="Note 3 2 3 8" xfId="5501"/>
    <cellStyle name="Note 3 2 4 6 2 2" xfId="5502"/>
    <cellStyle name="Note 3 2 4 8" xfId="5503"/>
    <cellStyle name="Note 3 3 6 2 2" xfId="5504"/>
    <cellStyle name="Note 3 3 8" xfId="5505"/>
    <cellStyle name="Note 3 4 6 2 2" xfId="5506"/>
    <cellStyle name="Note 3 4 8" xfId="5507"/>
    <cellStyle name="Note 3 5 6 2 2" xfId="5508"/>
    <cellStyle name="Note 3 5 8" xfId="5509"/>
    <cellStyle name="Note 4 12 2" xfId="5510"/>
    <cellStyle name="Note 4 13" xfId="5511"/>
    <cellStyle name="Note 4 2 11 2" xfId="5512"/>
    <cellStyle name="Note 4 2 12" xfId="5513"/>
    <cellStyle name="Note 4 2 2 6 2 2" xfId="5514"/>
    <cellStyle name="Note 4 2 2 8" xfId="5515"/>
    <cellStyle name="Note 4 2 3 6 2 2" xfId="5516"/>
    <cellStyle name="Note 4 2 3 8" xfId="5517"/>
    <cellStyle name="Note 4 2 4 6 2 2" xfId="5518"/>
    <cellStyle name="Note 4 2 4 8" xfId="5519"/>
    <cellStyle name="Note 4 3 6 2 2" xfId="5520"/>
    <cellStyle name="Note 4 3 8" xfId="5521"/>
    <cellStyle name="Note 4 4 6 2 2" xfId="5522"/>
    <cellStyle name="Note 4 4 8" xfId="5523"/>
    <cellStyle name="Note 4 5 6 2 2" xfId="5524"/>
    <cellStyle name="Note 4 5 8" xfId="5525"/>
    <cellStyle name="표준 43 3 4" xfId="5526"/>
    <cellStyle name="표준 43 3 3" xfId="5527"/>
    <cellStyle name="표준 57 2" xfId="5528"/>
    <cellStyle name="표준 6 2 2 6" xfId="5529"/>
    <cellStyle name="표준 6 2 2 2 3" xfId="5530"/>
    <cellStyle name="표준 6 2 2 2 2 2" xfId="5531"/>
    <cellStyle name="표준 6 2 2 3 3" xfId="5532"/>
    <cellStyle name="표준 6 2 2 3 2 2" xfId="5533"/>
    <cellStyle name="표준 6 2 2 4 3" xfId="5534"/>
    <cellStyle name="표준 6 2 2 4 2 2" xfId="5535"/>
    <cellStyle name="표준 6 2 2 5 2" xfId="5536"/>
    <cellStyle name="표준 6 2 3 6" xfId="5537"/>
    <cellStyle name="표준 6 2 3 2 3" xfId="5538"/>
    <cellStyle name="표준 6 2 3 2 2 2" xfId="5539"/>
    <cellStyle name="표준 6 2 3 3 3" xfId="5540"/>
    <cellStyle name="표준 6 2 3 3 2 2" xfId="5541"/>
    <cellStyle name="표준 6 2 3 4 3" xfId="5542"/>
    <cellStyle name="표준 6 2 3 4 2 2" xfId="5543"/>
    <cellStyle name="표준 6 2 3 5 2" xfId="5544"/>
    <cellStyle name="표준 6 2 4 3" xfId="5545"/>
    <cellStyle name="표준 6 2 4 2 2" xfId="5546"/>
    <cellStyle name="표준 6 2 5 3" xfId="5547"/>
    <cellStyle name="표준 6 2 5 2 2" xfId="5548"/>
    <cellStyle name="표준 6 2 6 3" xfId="5549"/>
    <cellStyle name="표준 6 2 6 2 2" xfId="5550"/>
    <cellStyle name="표준 6 2 7 2" xfId="5551"/>
    <cellStyle name="표준 6 4 6" xfId="5552"/>
    <cellStyle name="표준 6 4 2 3" xfId="5553"/>
    <cellStyle name="표준 6 4 2 2 2" xfId="5554"/>
    <cellStyle name="표준 6 4 3 3" xfId="5555"/>
    <cellStyle name="표준 6 4 3 2 2" xfId="5556"/>
    <cellStyle name="표준 6 4 4 3" xfId="5557"/>
    <cellStyle name="표준 6 4 4 2 2" xfId="5558"/>
    <cellStyle name="표준 6 4 5 2" xfId="5559"/>
    <cellStyle name="표준 6 5 5" xfId="5560"/>
    <cellStyle name="표준 6 5 2 3" xfId="5561"/>
    <cellStyle name="표준 6 5 2 2 2" xfId="5562"/>
    <cellStyle name="표준 6 5 3 3" xfId="5563"/>
    <cellStyle name="표준 6 5 3 2 2" xfId="5564"/>
    <cellStyle name="표준 6 5 4 2" xfId="5565"/>
    <cellStyle name="표준 6 6 3" xfId="5566"/>
    <cellStyle name="표준 6 6 2 2" xfId="5567"/>
    <cellStyle name="표준 6 7 3" xfId="5568"/>
    <cellStyle name="표준 6 7 2 2" xfId="5569"/>
    <cellStyle name="표준 6 8 2" xfId="5570"/>
    <cellStyle name="표준 7 6" xfId="5571"/>
    <cellStyle name="표준 7 2 3" xfId="5572"/>
    <cellStyle name="표준 7 2 2 2" xfId="5573"/>
    <cellStyle name="표준 7 3 3" xfId="5574"/>
    <cellStyle name="표준 7 3 2 2" xfId="5575"/>
    <cellStyle name="표준 7 4 3" xfId="5576"/>
    <cellStyle name="표준 7 4 2 2" xfId="5577"/>
    <cellStyle name="표준 7 5 2" xfId="5578"/>
    <cellStyle name="표준 8 2 2 6" xfId="5579"/>
    <cellStyle name="표준 8 2 2 2 3" xfId="5580"/>
    <cellStyle name="표준 8 2 2 2 2 2" xfId="5581"/>
    <cellStyle name="표준 8 2 2 3 3" xfId="5582"/>
    <cellStyle name="표준 8 2 2 3 2 2" xfId="5583"/>
    <cellStyle name="표준 8 2 2 4 3" xfId="5584"/>
    <cellStyle name="표준 8 2 2 4 2 2" xfId="5585"/>
    <cellStyle name="표준 8 2 2 5 2" xfId="5586"/>
    <cellStyle name="표준 8 2 4 3" xfId="5587"/>
    <cellStyle name="표준 8 2 4 2 2" xfId="5588"/>
    <cellStyle name="표준 8 2 5 3" xfId="5589"/>
    <cellStyle name="표준 8 2 5 2 2" xfId="5590"/>
    <cellStyle name="표준 8 2 6 3" xfId="5591"/>
    <cellStyle name="표준 8 2 6 2 2" xfId="5592"/>
    <cellStyle name="표준 8 2 7 2" xfId="5593"/>
    <cellStyle name="표준 8 3 2 3" xfId="5594"/>
    <cellStyle name="표준 8 3 3 3" xfId="5595"/>
    <cellStyle name="표준 8 3 4 3" xfId="5596"/>
    <cellStyle name="표준 8 3 6" xfId="5597"/>
    <cellStyle name="표준 8 4 8" xfId="5598"/>
    <cellStyle name="표준 8 4 2 5" xfId="5599"/>
    <cellStyle name="표준 8 4 2 2 2" xfId="5600"/>
    <cellStyle name="표준 8 4 2 3 2" xfId="5601"/>
    <cellStyle name="표준 8 4 2 4" xfId="5602"/>
    <cellStyle name="표준 8 4 3 5" xfId="5603"/>
    <cellStyle name="표준 8 4 3 2 2" xfId="5604"/>
    <cellStyle name="표준 8 4 3 3 2" xfId="5605"/>
    <cellStyle name="표준 8 4 3 4" xfId="5606"/>
    <cellStyle name="표준 8 4 4 5" xfId="5607"/>
    <cellStyle name="표준 8 4 4 2 2" xfId="5608"/>
    <cellStyle name="표준 8 4 4 3 2" xfId="5609"/>
    <cellStyle name="표준 8 4 4 4" xfId="5610"/>
    <cellStyle name="표준 8 4 5 2" xfId="5611"/>
    <cellStyle name="표준 8 4 6 2" xfId="5612"/>
    <cellStyle name="표준 8 4 7" xfId="5613"/>
    <cellStyle name="표준 8 5 3 4" xfId="5614"/>
    <cellStyle name="표준 8 5 3 2 2" xfId="5615"/>
    <cellStyle name="표준 8 5 3 3 2" xfId="5616"/>
    <cellStyle name="표준 8 5 5" xfId="5617"/>
    <cellStyle name="표준 8 6 3" xfId="5618"/>
    <cellStyle name="표준 8 7 3" xfId="5619"/>
    <cellStyle name="표준 9 2 2 3" xfId="5620"/>
    <cellStyle name="표준 9 2 3 3" xfId="5621"/>
    <cellStyle name="표준 9 2 4 3" xfId="5622"/>
    <cellStyle name="표준 9 2 6" xfId="5623"/>
    <cellStyle name="표준 9 3 8" xfId="5624"/>
    <cellStyle name="표준 9 3 2 5" xfId="5625"/>
    <cellStyle name="표준 9 3 2 2 2" xfId="5626"/>
    <cellStyle name="표준 9 3 2 3 2" xfId="5627"/>
    <cellStyle name="표준 9 3 2 4" xfId="5628"/>
    <cellStyle name="표준 9 3 3 5" xfId="5629"/>
    <cellStyle name="표준 9 3 3 2 2" xfId="5630"/>
    <cellStyle name="표준 9 3 3 3 2" xfId="5631"/>
    <cellStyle name="표준 9 3 3 4" xfId="5632"/>
    <cellStyle name="표준 9 3 4 5" xfId="5633"/>
    <cellStyle name="표준 9 3 4 2 2" xfId="5634"/>
    <cellStyle name="표준 9 3 4 3 2" xfId="5635"/>
    <cellStyle name="표준 9 3 4 4" xfId="5636"/>
    <cellStyle name="표준 9 3 5 2" xfId="5637"/>
    <cellStyle name="표준 9 3 6 2" xfId="5638"/>
    <cellStyle name="표준 9 3 7" xfId="5639"/>
    <cellStyle name="표준 9 4 6" xfId="5640"/>
    <cellStyle name="표준 9 4 2 3" xfId="5641"/>
    <cellStyle name="표준 9 4 2 2 2" xfId="5642"/>
    <cellStyle name="표준 9 4 3 3" xfId="5643"/>
    <cellStyle name="표준 9 4 3 2 2" xfId="5644"/>
    <cellStyle name="표준 9 4 4 3" xfId="5645"/>
    <cellStyle name="표준 9 4 4 2 2" xfId="5646"/>
    <cellStyle name="표준 9 4 5 2" xfId="5647"/>
    <cellStyle name="표준 9 5 5" xfId="5648"/>
    <cellStyle name="표준 9 5 2 2" xfId="5649"/>
    <cellStyle name="표준 9 5 3 2" xfId="5650"/>
    <cellStyle name="표준 9 5 4" xfId="5651"/>
    <cellStyle name="표준 9 6 5" xfId="5652"/>
    <cellStyle name="표준 9 6 2 2" xfId="5653"/>
    <cellStyle name="표준 9 6 3 2" xfId="5654"/>
    <cellStyle name="표준 9 6 4" xfId="5655"/>
    <cellStyle name="표준 9 7 5" xfId="5656"/>
    <cellStyle name="표준 9 7 2 2" xfId="5657"/>
    <cellStyle name="표준 9 7 3 2" xfId="5658"/>
    <cellStyle name="표준 9 7 4" xfId="5659"/>
    <cellStyle name="표준 9 8 2" xfId="5660"/>
    <cellStyle name="표준 9 9 2" xfId="5661"/>
    <cellStyle name="Note 2 14" xfId="5662"/>
    <cellStyle name="Note 2 2 13" xfId="5663"/>
    <cellStyle name="Note 2 2 2 9" xfId="5664"/>
    <cellStyle name="Note 2 2 3 9" xfId="5665"/>
    <cellStyle name="Note 2 2 4 9" xfId="5666"/>
    <cellStyle name="Note 2 3 9" xfId="5667"/>
    <cellStyle name="Note 2 4 9" xfId="5668"/>
    <cellStyle name="Note 2 5 9" xfId="5669"/>
    <cellStyle name="Note 3 14" xfId="5670"/>
    <cellStyle name="Note 3 2 13" xfId="5671"/>
    <cellStyle name="Note 3 2 2 9" xfId="5672"/>
    <cellStyle name="Note 3 2 3 9" xfId="5673"/>
    <cellStyle name="Note 3 2 4 9" xfId="5674"/>
    <cellStyle name="Note 3 3 9" xfId="5675"/>
    <cellStyle name="Note 3 4 9" xfId="5676"/>
    <cellStyle name="Note 3 5 9" xfId="5677"/>
    <cellStyle name="Note 4 14" xfId="5678"/>
    <cellStyle name="Note 4 2 13" xfId="5679"/>
    <cellStyle name="Note 4 2 2 9" xfId="5680"/>
    <cellStyle name="Note 4 2 3 9" xfId="5681"/>
    <cellStyle name="Note 4 2 4 9" xfId="5682"/>
    <cellStyle name="Note 4 3 9" xfId="5683"/>
    <cellStyle name="Note 4 4 9" xfId="5684"/>
    <cellStyle name="Note 4 5 9" xfId="5685"/>
    <cellStyle name="표준 8 3 7" xfId="5686"/>
    <cellStyle name="표준 8 3 2 4" xfId="5687"/>
    <cellStyle name="표준 8 3 3 4" xfId="5688"/>
    <cellStyle name="표준 8 3 4 4" xfId="5689"/>
    <cellStyle name="표준 8 4 9" xfId="5690"/>
    <cellStyle name="표준 8 4 2 6" xfId="5691"/>
    <cellStyle name="표준 8 4 3 6" xfId="5692"/>
    <cellStyle name="표준 8 4 4 6" xfId="5693"/>
    <cellStyle name="표준 8 5 6" xfId="5694"/>
    <cellStyle name="표준 8 6 4" xfId="5695"/>
    <cellStyle name="표준 8 7 4" xfId="5696"/>
    <cellStyle name="표준 9 2 7" xfId="5697"/>
    <cellStyle name="표준 9 2 2 4" xfId="5698"/>
    <cellStyle name="표준 9 2 3 4" xfId="5699"/>
    <cellStyle name="표준 9 2 4 4" xfId="5700"/>
    <cellStyle name="표준 9 3 9" xfId="5701"/>
    <cellStyle name="표준 9 3 2 6" xfId="5702"/>
    <cellStyle name="표준 9 3 3 6" xfId="5703"/>
    <cellStyle name="표준 9 3 4 6" xfId="5704"/>
    <cellStyle name="표준 9 5 6" xfId="5705"/>
    <cellStyle name="표준 9 6 6" xfId="5706"/>
    <cellStyle name="표준 9 7 6" xfId="5707"/>
    <cellStyle name="표준 57 4" xfId="5708"/>
    <cellStyle name="표준 59" xfId="5709"/>
    <cellStyle name="표준 58" xfId="5710"/>
    <cellStyle name="표준 57 3" xfId="5711"/>
    <cellStyle name="표준 57 5" xfId="5712"/>
    <cellStyle name="Normal 7 6 6 2" xfId="5713"/>
    <cellStyle name="표준 39 2 3 5 2" xfId="5714"/>
    <cellStyle name="표준 51 2" xfId="5715"/>
    <cellStyle name="표준 52 2" xfId="5716"/>
    <cellStyle name="표준 60" xfId="5717"/>
    <cellStyle name="표준 61" xfId="5718"/>
    <cellStyle name="표준 49 5" xfId="5719"/>
    <cellStyle name="표준 39 5 4 3" xfId="5720"/>
    <cellStyle name="20% - Accent1 2 10" xfId="5721"/>
    <cellStyle name="20% - Accent1 2 11" xfId="5722"/>
    <cellStyle name="20% - Accent1 2 2 10" xfId="5723"/>
    <cellStyle name="20% - Accent1 2 2 2 2 2" xfId="5724"/>
    <cellStyle name="20% - Accent1 2 2 2 3" xfId="5725"/>
    <cellStyle name="20% - Accent1 2 2 2 4" xfId="5726"/>
    <cellStyle name="20% - Accent1 2 2 4 2 2" xfId="5727"/>
    <cellStyle name="20% - Accent1 2 2 4 3" xfId="5728"/>
    <cellStyle name="20% - Accent1 2 2 5 2 2" xfId="5729"/>
    <cellStyle name="20% - Accent1 2 2 5 3" xfId="5730"/>
    <cellStyle name="20% - Accent1 2 2 7" xfId="5731"/>
    <cellStyle name="20% - Accent1 2 2 8" xfId="5732"/>
    <cellStyle name="20% - Accent1 2 2 9" xfId="5733"/>
    <cellStyle name="20% - Accent1 2 3 2 2" xfId="5734"/>
    <cellStyle name="20% - Accent1 2 3 3 2" xfId="5735"/>
    <cellStyle name="20% - Accent1 2 3 4" xfId="5736"/>
    <cellStyle name="20% - Accent1 2 3 5" xfId="5737"/>
    <cellStyle name="20% - Accent1 2 4 2 2 2" xfId="5738"/>
    <cellStyle name="20% - Accent1 2 4 3 2 2" xfId="5739"/>
    <cellStyle name="20% - Accent1 2 4 4 2" xfId="5740"/>
    <cellStyle name="20% - Accent1 2 4 5" xfId="5741"/>
    <cellStyle name="20% - Accent1 2 5 2 2" xfId="5742"/>
    <cellStyle name="20% - Accent1 2 5 3 2" xfId="5743"/>
    <cellStyle name="20% - Accent1 2 5 4" xfId="5744"/>
    <cellStyle name="20% - Accent1 2 5 5" xfId="5745"/>
    <cellStyle name="20% - Accent1 2 6 2 2" xfId="5746"/>
    <cellStyle name="20% - Accent1 2 6 3" xfId="5747"/>
    <cellStyle name="20% - Accent1 2 7 2" xfId="5748"/>
    <cellStyle name="20% - Accent1 2 8 3" xfId="5749"/>
    <cellStyle name="20% - Accent1 2 8 2" xfId="5750"/>
    <cellStyle name="20% - Accent1 2 9" xfId="5751"/>
    <cellStyle name="20% - Accent1 3 10" xfId="5752"/>
    <cellStyle name="20% - Accent1 3 11" xfId="5753"/>
    <cellStyle name="20% - Accent1 3 2 10" xfId="5754"/>
    <cellStyle name="20% - Accent1 3 2 2 2 2" xfId="5755"/>
    <cellStyle name="20% - Accent1 3 2 2 3" xfId="5756"/>
    <cellStyle name="20% - Accent1 3 2 2 4" xfId="5757"/>
    <cellStyle name="20% - Accent1 3 2 4 2 2" xfId="5758"/>
    <cellStyle name="20% - Accent1 3 2 4 3" xfId="5759"/>
    <cellStyle name="20% - Accent1 3 2 5 2 2" xfId="5760"/>
    <cellStyle name="20% - Accent1 3 2 5 3" xfId="5761"/>
    <cellStyle name="20% - Accent1 3 2 7" xfId="5762"/>
    <cellStyle name="20% - Accent1 3 2 8" xfId="5763"/>
    <cellStyle name="20% - Accent1 3 2 9" xfId="5764"/>
    <cellStyle name="20% - Accent1 3 3 2 2" xfId="5765"/>
    <cellStyle name="20% - Accent1 3 3 3 2" xfId="5766"/>
    <cellStyle name="20% - Accent1 3 3 4" xfId="5767"/>
    <cellStyle name="20% - Accent1 3 3 5" xfId="5768"/>
    <cellStyle name="20% - Accent1 3 4 2 2 2" xfId="5769"/>
    <cellStyle name="20% - Accent1 3 5 2 2" xfId="5770"/>
    <cellStyle name="20% - Accent1 3 5 3" xfId="5771"/>
    <cellStyle name="20% - Accent1 3 6 2 2" xfId="5772"/>
    <cellStyle name="20% - Accent1 3 6 3" xfId="5773"/>
    <cellStyle name="20% - Accent1 3 8" xfId="5774"/>
    <cellStyle name="20% - Accent1 3 9" xfId="5775"/>
    <cellStyle name="20% - Accent1 4 10" xfId="5776"/>
    <cellStyle name="20% - Accent1 4 2 2 2" xfId="5777"/>
    <cellStyle name="20% - Accent1 4 2 3 2" xfId="5778"/>
    <cellStyle name="20% - Accent1 4 2 4" xfId="5779"/>
    <cellStyle name="20% - Accent1 4 2 5" xfId="5780"/>
    <cellStyle name="20% - Accent1 4 3 2 2 2" xfId="5781"/>
    <cellStyle name="20% - Accent1 4 4 2 2" xfId="5782"/>
    <cellStyle name="20% - Accent1 4 4 3" xfId="5783"/>
    <cellStyle name="20% - Accent1 4 5 2 2" xfId="5784"/>
    <cellStyle name="20% - Accent1 4 5 3" xfId="5785"/>
    <cellStyle name="20% - Accent1 4 7" xfId="5786"/>
    <cellStyle name="20% - Accent1 4 8" xfId="5787"/>
    <cellStyle name="20% - Accent1 4 9" xfId="5788"/>
    <cellStyle name="20% - Accent1 5 4" xfId="5789"/>
    <cellStyle name="20% - Accent1 5 2 3" xfId="5790"/>
    <cellStyle name="20% - Accent1 5 2 2 2" xfId="5791"/>
    <cellStyle name="20% - Accent1 5 3 2" xfId="5792"/>
    <cellStyle name="20% - Accent1 6 3" xfId="5793"/>
    <cellStyle name="20% - Accent1 6 2 2" xfId="5794"/>
    <cellStyle name="20% - Accent2 2 10" xfId="5795"/>
    <cellStyle name="20% - Accent2 2 11" xfId="5796"/>
    <cellStyle name="20% - Accent2 2 2 10" xfId="5797"/>
    <cellStyle name="20% - Accent2 2 2 2 2 2" xfId="5798"/>
    <cellStyle name="20% - Accent2 2 2 2 3" xfId="5799"/>
    <cellStyle name="20% - Accent2 2 2 2 4" xfId="5800"/>
    <cellStyle name="20% - Accent2 2 2 4 2 2" xfId="5801"/>
    <cellStyle name="20% - Accent2 2 2 4 3" xfId="5802"/>
    <cellStyle name="20% - Accent2 2 2 5 2 2" xfId="5803"/>
    <cellStyle name="20% - Accent2 2 2 5 3" xfId="5804"/>
    <cellStyle name="20% - Accent2 2 2 7" xfId="5805"/>
    <cellStyle name="20% - Accent2 2 2 8" xfId="5806"/>
    <cellStyle name="20% - Accent2 2 2 9" xfId="5807"/>
    <cellStyle name="20% - Accent2 2 3 2 2" xfId="5808"/>
    <cellStyle name="20% - Accent2 2 3 3 2" xfId="5809"/>
    <cellStyle name="20% - Accent2 2 3 4" xfId="5810"/>
    <cellStyle name="20% - Accent2 2 3 5" xfId="5811"/>
    <cellStyle name="20% - Accent2 2 4 2 2 2" xfId="5812"/>
    <cellStyle name="20% - Accent2 2 4 3 2 2" xfId="5813"/>
    <cellStyle name="20% - Accent2 2 4 4 2" xfId="5814"/>
    <cellStyle name="20% - Accent2 2 4 5" xfId="5815"/>
    <cellStyle name="20% - Accent2 2 5 2 2" xfId="5816"/>
    <cellStyle name="20% - Accent2 2 5 3 2" xfId="5817"/>
    <cellStyle name="20% - Accent2 2 5 4" xfId="5818"/>
    <cellStyle name="20% - Accent2 2 5 5" xfId="5819"/>
    <cellStyle name="20% - Accent2 2 6 2 2" xfId="5820"/>
    <cellStyle name="20% - Accent2 2 6 3" xfId="5821"/>
    <cellStyle name="20% - Accent2 2 7 2" xfId="5822"/>
    <cellStyle name="20% - Accent2 2 8 3" xfId="5823"/>
    <cellStyle name="20% - Accent2 2 8 2" xfId="5824"/>
    <cellStyle name="20% - Accent2 2 9" xfId="5825"/>
    <cellStyle name="20% - Accent2 3 10" xfId="5826"/>
    <cellStyle name="20% - Accent2 3 11" xfId="5827"/>
    <cellStyle name="20% - Accent2 3 2 10" xfId="5828"/>
    <cellStyle name="20% - Accent2 3 2 2 2 2" xfId="5829"/>
    <cellStyle name="20% - Accent2 3 2 2 3" xfId="5830"/>
    <cellStyle name="20% - Accent2 3 2 2 4" xfId="5831"/>
    <cellStyle name="20% - Accent2 3 2 4 2 2" xfId="5832"/>
    <cellStyle name="20% - Accent2 3 2 4 3" xfId="5833"/>
    <cellStyle name="20% - Accent2 3 2 5 2 2" xfId="5834"/>
    <cellStyle name="20% - Accent2 3 2 5 3" xfId="5835"/>
    <cellStyle name="20% - Accent2 3 2 7" xfId="5836"/>
    <cellStyle name="20% - Accent2 3 2 8" xfId="5837"/>
    <cellStyle name="20% - Accent2 3 2 9" xfId="5838"/>
    <cellStyle name="20% - Accent2 3 3 2 2" xfId="5839"/>
    <cellStyle name="20% - Accent2 3 3 3 2" xfId="5840"/>
    <cellStyle name="20% - Accent2 3 3 4" xfId="5841"/>
    <cellStyle name="20% - Accent2 3 3 5" xfId="5842"/>
    <cellStyle name="20% - Accent2 3 4 2 2 2" xfId="5843"/>
    <cellStyle name="20% - Accent2 3 5 2 2" xfId="5844"/>
    <cellStyle name="20% - Accent2 3 5 3" xfId="5845"/>
    <cellStyle name="20% - Accent2 3 6 2 2" xfId="5846"/>
    <cellStyle name="20% - Accent2 3 6 3" xfId="5847"/>
    <cellStyle name="20% - Accent2 3 8" xfId="5848"/>
    <cellStyle name="20% - Accent2 3 9" xfId="5849"/>
    <cellStyle name="20% - Accent2 4 10" xfId="5850"/>
    <cellStyle name="20% - Accent2 4 2 2 2" xfId="5851"/>
    <cellStyle name="20% - Accent2 4 2 3 2" xfId="5852"/>
    <cellStyle name="20% - Accent2 4 2 4" xfId="5853"/>
    <cellStyle name="20% - Accent2 4 2 5" xfId="5854"/>
    <cellStyle name="20% - Accent2 4 3 2 2 2" xfId="5855"/>
    <cellStyle name="20% - Accent2 4 4 2 2" xfId="5856"/>
    <cellStyle name="20% - Accent2 4 4 3" xfId="5857"/>
    <cellStyle name="20% - Accent2 4 5 2 2" xfId="5858"/>
    <cellStyle name="20% - Accent2 4 5 3" xfId="5859"/>
    <cellStyle name="20% - Accent2 4 7" xfId="5860"/>
    <cellStyle name="20% - Accent2 4 8" xfId="5861"/>
    <cellStyle name="20% - Accent2 4 9" xfId="5862"/>
    <cellStyle name="20% - Accent2 5 4" xfId="5863"/>
    <cellStyle name="20% - Accent2 5 2 3" xfId="5864"/>
    <cellStyle name="20% - Accent2 5 2 2 2" xfId="5865"/>
    <cellStyle name="20% - Accent2 5 3 2" xfId="5866"/>
    <cellStyle name="20% - Accent2 6 3" xfId="5867"/>
    <cellStyle name="20% - Accent2 6 2 2" xfId="5868"/>
    <cellStyle name="20% - Accent3 2 10" xfId="5869"/>
    <cellStyle name="20% - Accent3 2 11" xfId="5870"/>
    <cellStyle name="20% - Accent3 2 2 2 2 2" xfId="5871"/>
    <cellStyle name="20% - Accent3 2 2 2 3" xfId="5872"/>
    <cellStyle name="20% - Accent3 2 2 2 4" xfId="5873"/>
    <cellStyle name="20% - Accent3 2 2 4 2 2" xfId="5874"/>
    <cellStyle name="20% - Accent3 2 2 4 3" xfId="5875"/>
    <cellStyle name="20% - Accent3 2 2 7" xfId="5876"/>
    <cellStyle name="20% - Accent3 2 2 8" xfId="5877"/>
    <cellStyle name="20% - Accent3 2 2 9" xfId="5878"/>
    <cellStyle name="20% - Accent3 2 3 2 2" xfId="5879"/>
    <cellStyle name="20% - Accent3 2 3 3" xfId="5880"/>
    <cellStyle name="20% - Accent3 2 3 4" xfId="5881"/>
    <cellStyle name="20% - Accent3 2 4 2 2 2" xfId="5882"/>
    <cellStyle name="20% - Accent3 2 5 2 2" xfId="5883"/>
    <cellStyle name="20% - Accent3 2 5 3 2" xfId="5884"/>
    <cellStyle name="20% - Accent3 2 5 4" xfId="5885"/>
    <cellStyle name="20% - Accent3 2 5 5" xfId="5886"/>
    <cellStyle name="20% - Accent3 2 6 2 2" xfId="5887"/>
    <cellStyle name="20% - Accent3 2 6 3" xfId="5888"/>
    <cellStyle name="20% - Accent3 2 8 3" xfId="5889"/>
    <cellStyle name="20% - Accent3 2 8 2" xfId="5890"/>
    <cellStyle name="20% - Accent3 2 9" xfId="5891"/>
    <cellStyle name="20% - Accent3 3 10" xfId="5892"/>
    <cellStyle name="20% - Accent3 3 11" xfId="5893"/>
    <cellStyle name="20% - Accent3 3 2 2 2 2" xfId="5894"/>
    <cellStyle name="20% - Accent3 3 2 2 3" xfId="5895"/>
    <cellStyle name="20% - Accent3 3 2 2 4" xfId="5896"/>
    <cellStyle name="20% - Accent3 3 2 4 2 2" xfId="5897"/>
    <cellStyle name="20% - Accent3 3 2 4 3" xfId="5898"/>
    <cellStyle name="20% - Accent3 3 2 7" xfId="5899"/>
    <cellStyle name="20% - Accent3 3 2 8" xfId="5900"/>
    <cellStyle name="20% - Accent3 3 2 9" xfId="5901"/>
    <cellStyle name="20% - Accent3 3 3 2 2" xfId="5902"/>
    <cellStyle name="20% - Accent3 3 3 3 2" xfId="5903"/>
    <cellStyle name="20% - Accent3 3 3 4" xfId="5904"/>
    <cellStyle name="20% - Accent3 3 3 5" xfId="5905"/>
    <cellStyle name="20% - Accent3 3 4 2 2 2" xfId="5906"/>
    <cellStyle name="20% - Accent3 3 5 2 2" xfId="5907"/>
    <cellStyle name="20% - Accent3 3 5 3" xfId="5908"/>
    <cellStyle name="20% - Accent3 3 6 2 2" xfId="5909"/>
    <cellStyle name="20% - Accent3 3 6 3" xfId="5910"/>
    <cellStyle name="20% - Accent3 3 8" xfId="5911"/>
    <cellStyle name="20% - Accent3 3 9" xfId="5912"/>
    <cellStyle name="20% - Accent3 4 2 2 2" xfId="5913"/>
    <cellStyle name="20% - Accent3 4 2 3 2" xfId="5914"/>
    <cellStyle name="20% - Accent3 4 2 4" xfId="5915"/>
    <cellStyle name="20% - Accent3 4 2 5" xfId="5916"/>
    <cellStyle name="20% - Accent3 4 4 2 2" xfId="5917"/>
    <cellStyle name="20% - Accent3 4 4 3" xfId="5918"/>
    <cellStyle name="20% - Accent3 4 7" xfId="5919"/>
    <cellStyle name="20% - Accent3 4 8" xfId="5920"/>
    <cellStyle name="20% - Accent3 4 9" xfId="5921"/>
    <cellStyle name="20% - Accent3 5 4" xfId="5922"/>
    <cellStyle name="20% - Accent3 5 2 3" xfId="5923"/>
    <cellStyle name="20% - Accent3 5 2 2 2" xfId="5924"/>
    <cellStyle name="20% - Accent3 5 3 2" xfId="5925"/>
    <cellStyle name="20% - Accent3 6 3" xfId="5926"/>
    <cellStyle name="20% - Accent3 6 2 2" xfId="5927"/>
    <cellStyle name="20% - Accent4 2 10" xfId="5928"/>
    <cellStyle name="20% - Accent4 2 11" xfId="5929"/>
    <cellStyle name="20% - Accent4 2 2 10" xfId="5930"/>
    <cellStyle name="20% - Accent4 2 2 2 2 2" xfId="5931"/>
    <cellStyle name="20% - Accent4 2 2 2 3" xfId="5932"/>
    <cellStyle name="20% - Accent4 2 2 2 4" xfId="5933"/>
    <cellStyle name="20% - Accent4 2 2 4 2 2" xfId="5934"/>
    <cellStyle name="20% - Accent4 2 2 4 3" xfId="5935"/>
    <cellStyle name="20% - Accent4 2 2 5 2 2" xfId="5936"/>
    <cellStyle name="20% - Accent4 2 2 5 3" xfId="5937"/>
    <cellStyle name="20% - Accent4 2 2 7" xfId="5938"/>
    <cellStyle name="20% - Accent4 2 2 8" xfId="5939"/>
    <cellStyle name="20% - Accent4 2 2 9" xfId="5940"/>
    <cellStyle name="20% - Accent4 2 3 2 2" xfId="5941"/>
    <cellStyle name="20% - Accent4 2 3 3 2" xfId="5942"/>
    <cellStyle name="20% - Accent4 2 3 4" xfId="5943"/>
    <cellStyle name="20% - Accent4 2 3 5" xfId="5944"/>
    <cellStyle name="20% - Accent4 2 4 2 2 2" xfId="5945"/>
    <cellStyle name="20% - Accent4 2 4 3 2 2" xfId="5946"/>
    <cellStyle name="20% - Accent4 2 4 4 2" xfId="5947"/>
    <cellStyle name="20% - Accent4 2 4 5" xfId="5948"/>
    <cellStyle name="20% - Accent4 2 5 2 2" xfId="5949"/>
    <cellStyle name="20% - Accent4 2 5 3 2" xfId="5950"/>
    <cellStyle name="20% - Accent4 2 5 4" xfId="5951"/>
    <cellStyle name="20% - Accent4 2 5 5" xfId="5952"/>
    <cellStyle name="20% - Accent4 2 6 2 2" xfId="5953"/>
    <cellStyle name="20% - Accent4 2 6 3" xfId="5954"/>
    <cellStyle name="20% - Accent4 2 7 2" xfId="5955"/>
    <cellStyle name="20% - Accent4 2 8 3" xfId="5956"/>
    <cellStyle name="20% - Accent4 2 8 2" xfId="5957"/>
    <cellStyle name="20% - Accent4 2 9" xfId="5958"/>
    <cellStyle name="20% - Accent4 3 10" xfId="5959"/>
    <cellStyle name="20% - Accent4 3 11" xfId="5960"/>
    <cellStyle name="20% - Accent4 3 2 10" xfId="5961"/>
    <cellStyle name="20% - Accent4 3 2 2 2 2" xfId="5962"/>
    <cellStyle name="20% - Accent4 3 2 2 3" xfId="5963"/>
    <cellStyle name="20% - Accent4 3 2 2 4" xfId="5964"/>
    <cellStyle name="20% - Accent4 3 2 4 2 2" xfId="5965"/>
    <cellStyle name="20% - Accent4 3 2 4 3" xfId="5966"/>
    <cellStyle name="20% - Accent4 3 2 5 2 2" xfId="5967"/>
    <cellStyle name="20% - Accent4 3 2 5 3" xfId="5968"/>
    <cellStyle name="20% - Accent4 3 2 7" xfId="5969"/>
    <cellStyle name="20% - Accent4 3 2 8" xfId="5970"/>
    <cellStyle name="20% - Accent4 3 2 9" xfId="5971"/>
    <cellStyle name="20% - Accent4 3 3 2 2" xfId="5972"/>
    <cellStyle name="20% - Accent4 3 3 3 2" xfId="5973"/>
    <cellStyle name="20% - Accent4 3 3 4" xfId="5974"/>
    <cellStyle name="20% - Accent4 3 3 5" xfId="5975"/>
    <cellStyle name="20% - Accent4 3 4 2 2 2" xfId="5976"/>
    <cellStyle name="20% - Accent4 3 5 2 2" xfId="5977"/>
    <cellStyle name="20% - Accent4 3 5 3" xfId="5978"/>
    <cellStyle name="20% - Accent4 3 6 2 2" xfId="5979"/>
    <cellStyle name="20% - Accent4 3 6 3" xfId="5980"/>
    <cellStyle name="20% - Accent4 3 8" xfId="5981"/>
    <cellStyle name="20% - Accent4 3 9" xfId="5982"/>
    <cellStyle name="20% - Accent4 4 10" xfId="5983"/>
    <cellStyle name="20% - Accent4 4 2 2 2" xfId="5984"/>
    <cellStyle name="20% - Accent4 4 2 3 2" xfId="5985"/>
    <cellStyle name="20% - Accent4 4 2 4" xfId="5986"/>
    <cellStyle name="20% - Accent4 4 2 5" xfId="5987"/>
    <cellStyle name="20% - Accent4 4 3 2 2 2" xfId="5988"/>
    <cellStyle name="20% - Accent4 4 4 2 2" xfId="5989"/>
    <cellStyle name="20% - Accent4 4 4 3" xfId="5990"/>
    <cellStyle name="20% - Accent4 4 5 2 2" xfId="5991"/>
    <cellStyle name="20% - Accent4 4 5 3" xfId="5992"/>
    <cellStyle name="20% - Accent4 4 7" xfId="5993"/>
    <cellStyle name="20% - Accent4 4 8" xfId="5994"/>
    <cellStyle name="20% - Accent4 4 9" xfId="5995"/>
    <cellStyle name="20% - Accent4 5 4" xfId="5996"/>
    <cellStyle name="20% - Accent4 5 2 3" xfId="5997"/>
    <cellStyle name="20% - Accent4 5 2 2 2" xfId="5998"/>
    <cellStyle name="20% - Accent4 5 3 2" xfId="5999"/>
    <cellStyle name="20% - Accent4 6 3" xfId="6000"/>
    <cellStyle name="20% - Accent4 6 2 2" xfId="6001"/>
    <cellStyle name="20% - Accent5 2 10" xfId="6002"/>
    <cellStyle name="20% - Accent5 2 2 2 2 2" xfId="6003"/>
    <cellStyle name="20% - Accent5 2 2 2 3" xfId="6004"/>
    <cellStyle name="20% - Accent5 2 2 4 2 2" xfId="6005"/>
    <cellStyle name="20% - Accent5 2 2 4 3" xfId="6006"/>
    <cellStyle name="20% - Accent5 2 2 7" xfId="6007"/>
    <cellStyle name="20% - Accent5 2 2 8" xfId="6008"/>
    <cellStyle name="20% - Accent5 2 2 9" xfId="6009"/>
    <cellStyle name="20% - Accent5 2 3 2 2" xfId="6010"/>
    <cellStyle name="20% - Accent5 2 3 3" xfId="6011"/>
    <cellStyle name="20% - Accent5 2 5 3" xfId="6012"/>
    <cellStyle name="20% - Accent5 2 5 4" xfId="6013"/>
    <cellStyle name="20% - Accent5 2 8" xfId="6014"/>
    <cellStyle name="20% - Accent5 2 9" xfId="6015"/>
    <cellStyle name="20% - Accent5 3 10" xfId="6016"/>
    <cellStyle name="20% - Accent5 3 2 2 2 2" xfId="6017"/>
    <cellStyle name="20% - Accent5 3 2 2 3" xfId="6018"/>
    <cellStyle name="20% - Accent5 3 2 4 2 2" xfId="6019"/>
    <cellStyle name="20% - Accent5 3 2 4 3" xfId="6020"/>
    <cellStyle name="20% - Accent5 3 2 7" xfId="6021"/>
    <cellStyle name="20% - Accent5 3 2 8" xfId="6022"/>
    <cellStyle name="20% - Accent5 3 2 9" xfId="6023"/>
    <cellStyle name="20% - Accent5 3 3 3" xfId="6024"/>
    <cellStyle name="20% - Accent5 3 3 4" xfId="6025"/>
    <cellStyle name="20% - Accent5 3 5 2 2" xfId="6026"/>
    <cellStyle name="20% - Accent5 3 5 3" xfId="6027"/>
    <cellStyle name="20% - Accent5 3 8" xfId="6028"/>
    <cellStyle name="20% - Accent5 3 9" xfId="6029"/>
    <cellStyle name="20% - Accent5 4 2 2 2" xfId="6030"/>
    <cellStyle name="20% - Accent5 4 2 3" xfId="6031"/>
    <cellStyle name="20% - Accent5 4 4 2 2" xfId="6032"/>
    <cellStyle name="20% - Accent5 4 4 3" xfId="6033"/>
    <cellStyle name="20% - Accent5 4 7" xfId="6034"/>
    <cellStyle name="20% - Accent5 4 8" xfId="6035"/>
    <cellStyle name="20% - Accent5 4 9" xfId="6036"/>
    <cellStyle name="20% - Accent5 5 3" xfId="6037"/>
    <cellStyle name="20% - Accent5 5 2 2" xfId="6038"/>
    <cellStyle name="20% - Accent6 2 10" xfId="6039"/>
    <cellStyle name="20% - Accent6 2 11" xfId="6040"/>
    <cellStyle name="20% - Accent6 2 2 10" xfId="6041"/>
    <cellStyle name="20% - Accent6 2 2 2 2 2" xfId="6042"/>
    <cellStyle name="20% - Accent6 2 2 2 3" xfId="6043"/>
    <cellStyle name="20% - Accent6 2 2 2 4" xfId="6044"/>
    <cellStyle name="20% - Accent6 2 2 4 2 2" xfId="6045"/>
    <cellStyle name="20% - Accent6 2 2 4 3" xfId="6046"/>
    <cellStyle name="20% - Accent6 2 2 5 2 2" xfId="6047"/>
    <cellStyle name="20% - Accent6 2 2 5 3" xfId="6048"/>
    <cellStyle name="20% - Accent6 2 2 7" xfId="6049"/>
    <cellStyle name="20% - Accent6 2 2 8" xfId="6050"/>
    <cellStyle name="20% - Accent6 2 2 9" xfId="6051"/>
    <cellStyle name="20% - Accent6 2 3 2 2" xfId="6052"/>
    <cellStyle name="20% - Accent6 2 3 3 2" xfId="6053"/>
    <cellStyle name="20% - Accent6 2 3 4" xfId="6054"/>
    <cellStyle name="20% - Accent6 2 3 5" xfId="6055"/>
    <cellStyle name="20% - Accent6 2 4 2 2 2" xfId="6056"/>
    <cellStyle name="20% - Accent6 2 4 3 2 2" xfId="6057"/>
    <cellStyle name="20% - Accent6 2 4 4 2" xfId="6058"/>
    <cellStyle name="20% - Accent6 2 4 5" xfId="6059"/>
    <cellStyle name="20% - Accent6 2 5 2 2" xfId="6060"/>
    <cellStyle name="20% - Accent6 2 5 3 2" xfId="6061"/>
    <cellStyle name="20% - Accent6 2 5 4" xfId="6062"/>
    <cellStyle name="20% - Accent6 2 5 5" xfId="6063"/>
    <cellStyle name="20% - Accent6 2 6 2 2" xfId="6064"/>
    <cellStyle name="20% - Accent6 2 6 3" xfId="6065"/>
    <cellStyle name="20% - Accent6 2 7 2" xfId="6066"/>
    <cellStyle name="20% - Accent6 2 8 3" xfId="6067"/>
    <cellStyle name="20% - Accent6 2 8 2" xfId="6068"/>
    <cellStyle name="20% - Accent6 2 9" xfId="6069"/>
    <cellStyle name="20% - Accent6 3 10" xfId="6070"/>
    <cellStyle name="20% - Accent6 3 11" xfId="6071"/>
    <cellStyle name="20% - Accent6 3 2 10" xfId="6072"/>
    <cellStyle name="20% - Accent6 3 2 2 2 2" xfId="6073"/>
    <cellStyle name="20% - Accent6 3 2 2 3" xfId="6074"/>
    <cellStyle name="20% - Accent6 3 2 2 4" xfId="6075"/>
    <cellStyle name="20% - Accent6 3 2 4 2 2" xfId="6076"/>
    <cellStyle name="20% - Accent6 3 2 4 3" xfId="6077"/>
    <cellStyle name="20% - Accent6 3 2 5 2 2" xfId="6078"/>
    <cellStyle name="20% - Accent6 3 2 5 3" xfId="6079"/>
    <cellStyle name="20% - Accent6 3 2 7" xfId="6080"/>
    <cellStyle name="20% - Accent6 3 2 8" xfId="6081"/>
    <cellStyle name="20% - Accent6 3 2 9" xfId="6082"/>
    <cellStyle name="20% - Accent6 3 3 2 2" xfId="6083"/>
    <cellStyle name="20% - Accent6 3 3 3 2" xfId="6084"/>
    <cellStyle name="20% - Accent6 3 3 4" xfId="6085"/>
    <cellStyle name="20% - Accent6 3 3 5" xfId="6086"/>
    <cellStyle name="20% - Accent6 3 4 2 2 2" xfId="6087"/>
    <cellStyle name="20% - Accent6 3 5 2 2" xfId="6088"/>
    <cellStyle name="20% - Accent6 3 5 3" xfId="6089"/>
    <cellStyle name="20% - Accent6 3 6 2 2" xfId="6090"/>
    <cellStyle name="20% - Accent6 3 6 3" xfId="6091"/>
    <cellStyle name="20% - Accent6 3 8" xfId="6092"/>
    <cellStyle name="20% - Accent6 3 9" xfId="6093"/>
    <cellStyle name="20% - Accent6 4 10" xfId="6094"/>
    <cellStyle name="20% - Accent6 4 2 2 2" xfId="6095"/>
    <cellStyle name="20% - Accent6 4 2 3 2" xfId="6096"/>
    <cellStyle name="20% - Accent6 4 2 4" xfId="6097"/>
    <cellStyle name="20% - Accent6 4 2 5" xfId="6098"/>
    <cellStyle name="20% - Accent6 4 3 2 2 2" xfId="6099"/>
    <cellStyle name="20% - Accent6 4 4 2 2" xfId="6100"/>
    <cellStyle name="20% - Accent6 4 4 3" xfId="6101"/>
    <cellStyle name="20% - Accent6 4 5 2 2" xfId="6102"/>
    <cellStyle name="20% - Accent6 4 5 3" xfId="6103"/>
    <cellStyle name="20% - Accent6 4 7" xfId="6104"/>
    <cellStyle name="20% - Accent6 4 8" xfId="6105"/>
    <cellStyle name="20% - Accent6 4 9" xfId="6106"/>
    <cellStyle name="20% - Accent6 5 4" xfId="6107"/>
    <cellStyle name="20% - Accent6 5 2 3" xfId="6108"/>
    <cellStyle name="20% - Accent6 5 2 2 2" xfId="6109"/>
    <cellStyle name="20% - Accent6 5 3 2" xfId="6110"/>
    <cellStyle name="20% - Accent6 6 3" xfId="6111"/>
    <cellStyle name="20% - Accent6 6 2 2" xfId="6112"/>
    <cellStyle name="20% - 강조색1 2 10" xfId="6113"/>
    <cellStyle name="20% - 강조색1 2 2 2 2" xfId="6114"/>
    <cellStyle name="20% - 강조색1 2 2 3" xfId="6115"/>
    <cellStyle name="20% - 강조색1 2 2 4" xfId="6116"/>
    <cellStyle name="20% - 강조색1 2 4 2 2" xfId="6117"/>
    <cellStyle name="20% - 강조색1 2 4 3" xfId="6118"/>
    <cellStyle name="20% - 강조색1 2 5 2 2" xfId="6119"/>
    <cellStyle name="20% - 강조색1 2 5 3" xfId="6120"/>
    <cellStyle name="20% - 강조색1 2 7" xfId="6121"/>
    <cellStyle name="20% - 강조색1 2 8" xfId="6122"/>
    <cellStyle name="20% - 강조색1 2 9" xfId="6123"/>
    <cellStyle name="20% - 강조색1 3 3" xfId="6124"/>
    <cellStyle name="20% - 강조색1 3 2 2" xfId="6125"/>
    <cellStyle name="20% - 강조색2 2 10" xfId="6126"/>
    <cellStyle name="20% - 강조색2 2 2 2 2" xfId="6127"/>
    <cellStyle name="20% - 강조색2 2 2 3" xfId="6128"/>
    <cellStyle name="20% - 강조색2 2 2 4" xfId="6129"/>
    <cellStyle name="20% - 강조색2 2 4 2 2" xfId="6130"/>
    <cellStyle name="20% - 강조색2 2 4 3" xfId="6131"/>
    <cellStyle name="20% - 강조색2 2 5 2 2" xfId="6132"/>
    <cellStyle name="20% - 강조색2 2 5 3" xfId="6133"/>
    <cellStyle name="20% - 강조색2 2 7" xfId="6134"/>
    <cellStyle name="20% - 강조색2 2 8" xfId="6135"/>
    <cellStyle name="20% - 강조색2 2 9" xfId="6136"/>
    <cellStyle name="20% - 강조색2 3 3" xfId="6137"/>
    <cellStyle name="20% - 강조색2 3 2 2" xfId="6138"/>
    <cellStyle name="20% - 강조색3 2 10" xfId="6139"/>
    <cellStyle name="20% - 강조색3 2 2 2 2" xfId="6140"/>
    <cellStyle name="20% - 강조색3 2 2 3" xfId="6141"/>
    <cellStyle name="20% - 강조색3 2 2 4" xfId="6142"/>
    <cellStyle name="20% - 강조색3 2 4 2 2" xfId="6143"/>
    <cellStyle name="20% - 강조색3 2 4 3" xfId="6144"/>
    <cellStyle name="20% - 강조색3 2 5 2 2" xfId="6145"/>
    <cellStyle name="20% - 강조색3 2 5 3" xfId="6146"/>
    <cellStyle name="20% - 강조색3 2 7" xfId="6147"/>
    <cellStyle name="20% - 강조색3 2 8" xfId="6148"/>
    <cellStyle name="20% - 강조색3 2 9" xfId="6149"/>
    <cellStyle name="20% - 강조색3 3 3" xfId="6150"/>
    <cellStyle name="20% - 강조색3 3 2 2" xfId="6151"/>
    <cellStyle name="20% - 강조색4 2 10" xfId="6152"/>
    <cellStyle name="20% - 강조색4 2 2 2 2" xfId="6153"/>
    <cellStyle name="20% - 강조색4 2 2 3" xfId="6154"/>
    <cellStyle name="20% - 강조색4 2 2 4" xfId="6155"/>
    <cellStyle name="20% - 강조색4 2 4 2 2" xfId="6156"/>
    <cellStyle name="20% - 강조색4 2 4 3" xfId="6157"/>
    <cellStyle name="20% - 강조색4 2 5 2 2" xfId="6158"/>
    <cellStyle name="20% - 강조색4 2 5 3" xfId="6159"/>
    <cellStyle name="20% - 강조색4 2 7" xfId="6160"/>
    <cellStyle name="20% - 강조색4 2 8" xfId="6161"/>
    <cellStyle name="20% - 강조색4 2 9" xfId="6162"/>
    <cellStyle name="20% - 강조색4 3 3" xfId="6163"/>
    <cellStyle name="20% - 강조색4 3 2 2" xfId="6164"/>
    <cellStyle name="20% - 강조색5 2 10" xfId="6165"/>
    <cellStyle name="20% - 강조색5 2 2 2 2" xfId="6166"/>
    <cellStyle name="20% - 강조색5 2 2 3" xfId="6167"/>
    <cellStyle name="20% - 강조색5 2 4 2 2" xfId="6168"/>
    <cellStyle name="20% - 강조색5 2 4 3" xfId="6169"/>
    <cellStyle name="20% - 강조색5 2 5 2 2" xfId="6170"/>
    <cellStyle name="20% - 강조색5 2 5 3" xfId="6171"/>
    <cellStyle name="20% - 강조색5 2 7" xfId="6172"/>
    <cellStyle name="20% - 강조색5 2 8" xfId="6173"/>
    <cellStyle name="20% - 강조색5 2 9" xfId="6174"/>
    <cellStyle name="20% - 강조색5 3 2" xfId="6175"/>
    <cellStyle name="20% - 강조색6 2 10" xfId="6176"/>
    <cellStyle name="20% - 강조색6 2 2 2 2" xfId="6177"/>
    <cellStyle name="20% - 강조색6 2 2 3" xfId="6178"/>
    <cellStyle name="20% - 강조색6 2 2 4" xfId="6179"/>
    <cellStyle name="20% - 강조색6 2 4 2 2" xfId="6180"/>
    <cellStyle name="20% - 강조색6 2 4 3" xfId="6181"/>
    <cellStyle name="20% - 강조색6 2 5 2 2" xfId="6182"/>
    <cellStyle name="20% - 강조색6 2 5 3" xfId="6183"/>
    <cellStyle name="20% - 강조색6 2 7" xfId="6184"/>
    <cellStyle name="20% - 강조색6 2 8" xfId="6185"/>
    <cellStyle name="20% - 강조색6 2 9" xfId="6186"/>
    <cellStyle name="20% - 강조색6 3 3" xfId="6187"/>
    <cellStyle name="20% - 강조색6 3 2 2" xfId="6188"/>
    <cellStyle name="40% - Accent1 2 10" xfId="6189"/>
    <cellStyle name="40% - Accent1 2 11" xfId="6190"/>
    <cellStyle name="40% - Accent1 2 2 10" xfId="6191"/>
    <cellStyle name="40% - Accent1 2 2 2 2 2" xfId="6192"/>
    <cellStyle name="40% - Accent1 2 2 2 3" xfId="6193"/>
    <cellStyle name="40% - Accent1 2 2 2 4" xfId="6194"/>
    <cellStyle name="40% - Accent1 2 2 4 2 2" xfId="6195"/>
    <cellStyle name="40% - Accent1 2 2 4 3" xfId="6196"/>
    <cellStyle name="40% - Accent1 2 2 5 2 2" xfId="6197"/>
    <cellStyle name="40% - Accent1 2 2 5 3" xfId="6198"/>
    <cellStyle name="40% - Accent1 2 2 7" xfId="6199"/>
    <cellStyle name="40% - Accent1 2 2 8" xfId="6200"/>
    <cellStyle name="40% - Accent1 2 2 9" xfId="6201"/>
    <cellStyle name="40% - Accent1 2 3 2 2" xfId="6202"/>
    <cellStyle name="40% - Accent1 2 3 3 2" xfId="6203"/>
    <cellStyle name="40% - Accent1 2 3 4" xfId="6204"/>
    <cellStyle name="40% - Accent1 2 3 5" xfId="6205"/>
    <cellStyle name="40% - Accent1 2 4 2 2 2" xfId="6206"/>
    <cellStyle name="40% - Accent1 2 4 3 2 2" xfId="6207"/>
    <cellStyle name="40% - Accent1 2 4 4 2" xfId="6208"/>
    <cellStyle name="40% - Accent1 2 4 5" xfId="6209"/>
    <cellStyle name="40% - Accent1 2 5 2 2" xfId="6210"/>
    <cellStyle name="40% - Accent1 2 5 3 2" xfId="6211"/>
    <cellStyle name="40% - Accent1 2 5 4" xfId="6212"/>
    <cellStyle name="40% - Accent1 2 5 5" xfId="6213"/>
    <cellStyle name="40% - Accent1 2 6 2 2" xfId="6214"/>
    <cellStyle name="40% - Accent1 2 6 3" xfId="6215"/>
    <cellStyle name="40% - Accent1 2 7 2" xfId="6216"/>
    <cellStyle name="40% - Accent1 2 8 3" xfId="6217"/>
    <cellStyle name="40% - Accent1 2 8 2" xfId="6218"/>
    <cellStyle name="40% - Accent1 2 9" xfId="6219"/>
    <cellStyle name="40% - Accent1 3 10" xfId="6220"/>
    <cellStyle name="40% - Accent1 3 11" xfId="6221"/>
    <cellStyle name="40% - Accent1 3 2 10" xfId="6222"/>
    <cellStyle name="40% - Accent1 3 2 2 2 2" xfId="6223"/>
    <cellStyle name="40% - Accent1 3 2 2 3" xfId="6224"/>
    <cellStyle name="40% - Accent1 3 2 2 4" xfId="6225"/>
    <cellStyle name="40% - Accent1 3 2 4 2 2" xfId="6226"/>
    <cellStyle name="40% - Accent1 3 2 4 3" xfId="6227"/>
    <cellStyle name="40% - Accent1 3 2 5 2 2" xfId="6228"/>
    <cellStyle name="40% - Accent1 3 2 5 3" xfId="6229"/>
    <cellStyle name="40% - Accent1 3 2 7" xfId="6230"/>
    <cellStyle name="40% - Accent1 3 2 8" xfId="6231"/>
    <cellStyle name="40% - Accent1 3 2 9" xfId="6232"/>
    <cellStyle name="40% - Accent1 3 3 2 2" xfId="6233"/>
    <cellStyle name="40% - Accent1 3 3 3 2" xfId="6234"/>
    <cellStyle name="40% - Accent1 3 3 4" xfId="6235"/>
    <cellStyle name="40% - Accent1 3 3 5" xfId="6236"/>
    <cellStyle name="40% - Accent1 3 4 2 2 2" xfId="6237"/>
    <cellStyle name="40% - Accent1 3 5 2 2" xfId="6238"/>
    <cellStyle name="40% - Accent1 3 5 3" xfId="6239"/>
    <cellStyle name="40% - Accent1 3 6 2 2" xfId="6240"/>
    <cellStyle name="40% - Accent1 3 6 3" xfId="6241"/>
    <cellStyle name="40% - Accent1 3 8" xfId="6242"/>
    <cellStyle name="40% - Accent1 3 9" xfId="6243"/>
    <cellStyle name="40% - Accent1 4 10" xfId="6244"/>
    <cellStyle name="40% - Accent1 4 2 2 2" xfId="6245"/>
    <cellStyle name="40% - Accent1 4 2 3 2" xfId="6246"/>
    <cellStyle name="40% - Accent1 4 2 4" xfId="6247"/>
    <cellStyle name="40% - Accent1 4 2 5" xfId="6248"/>
    <cellStyle name="40% - Accent1 4 3 2 2 2" xfId="6249"/>
    <cellStyle name="40% - Accent1 4 4 2 2" xfId="6250"/>
    <cellStyle name="40% - Accent1 4 4 3" xfId="6251"/>
    <cellStyle name="40% - Accent1 4 5 2 2" xfId="6252"/>
    <cellStyle name="40% - Accent1 4 5 3" xfId="6253"/>
    <cellStyle name="40% - Accent1 4 7" xfId="6254"/>
    <cellStyle name="40% - Accent1 4 8" xfId="6255"/>
    <cellStyle name="40% - Accent1 4 9" xfId="6256"/>
    <cellStyle name="40% - Accent1 5 4" xfId="6257"/>
    <cellStyle name="40% - Accent1 5 2 3" xfId="6258"/>
    <cellStyle name="40% - Accent1 5 2 2 2" xfId="6259"/>
    <cellStyle name="40% - Accent1 5 3 2" xfId="6260"/>
    <cellStyle name="40% - Accent1 6 3" xfId="6261"/>
    <cellStyle name="40% - Accent1 6 2 2" xfId="6262"/>
    <cellStyle name="40% - Accent2 2 10" xfId="6263"/>
    <cellStyle name="40% - Accent2 2 2 2 2 2" xfId="6264"/>
    <cellStyle name="40% - Accent2 2 2 2 3" xfId="6265"/>
    <cellStyle name="40% - Accent2 2 2 4 2 2" xfId="6266"/>
    <cellStyle name="40% - Accent2 2 2 4 3" xfId="6267"/>
    <cellStyle name="40% - Accent2 2 2 7" xfId="6268"/>
    <cellStyle name="40% - Accent2 2 2 8" xfId="6269"/>
    <cellStyle name="40% - Accent2 2 2 9" xfId="6270"/>
    <cellStyle name="40% - Accent2 2 3 2 2" xfId="6271"/>
    <cellStyle name="40% - Accent2 2 3 3" xfId="6272"/>
    <cellStyle name="40% - Accent2 2 5 3" xfId="6273"/>
    <cellStyle name="40% - Accent2 2 5 4" xfId="6274"/>
    <cellStyle name="40% - Accent2 2 8" xfId="6275"/>
    <cellStyle name="40% - Accent2 2 9" xfId="6276"/>
    <cellStyle name="40% - Accent2 3 10" xfId="6277"/>
    <cellStyle name="40% - Accent2 3 2 2 2 2" xfId="6278"/>
    <cellStyle name="40% - Accent2 3 2 2 3" xfId="6279"/>
    <cellStyle name="40% - Accent2 3 2 4 2 2" xfId="6280"/>
    <cellStyle name="40% - Accent2 3 2 4 3" xfId="6281"/>
    <cellStyle name="40% - Accent2 3 2 7" xfId="6282"/>
    <cellStyle name="40% - Accent2 3 2 8" xfId="6283"/>
    <cellStyle name="40% - Accent2 3 2 9" xfId="6284"/>
    <cellStyle name="40% - Accent2 3 3 3" xfId="6285"/>
    <cellStyle name="40% - Accent2 3 3 4" xfId="6286"/>
    <cellStyle name="40% - Accent2 3 5 2 2" xfId="6287"/>
    <cellStyle name="40% - Accent2 3 5 3" xfId="6288"/>
    <cellStyle name="40% - Accent2 3 8" xfId="6289"/>
    <cellStyle name="40% - Accent2 3 9" xfId="6290"/>
    <cellStyle name="40% - Accent2 4 2 2 2" xfId="6291"/>
    <cellStyle name="40% - Accent2 4 2 3" xfId="6292"/>
    <cellStyle name="40% - Accent2 4 4 2 2" xfId="6293"/>
    <cellStyle name="40% - Accent2 4 4 3" xfId="6294"/>
    <cellStyle name="40% - Accent2 4 7" xfId="6295"/>
    <cellStyle name="40% - Accent2 4 8" xfId="6296"/>
    <cellStyle name="40% - Accent2 4 9" xfId="6297"/>
    <cellStyle name="40% - Accent2 5 3" xfId="6298"/>
    <cellStyle name="40% - Accent2 5 2 2" xfId="6299"/>
    <cellStyle name="40% - Accent3 2 10" xfId="6300"/>
    <cellStyle name="40% - Accent3 2 11" xfId="6301"/>
    <cellStyle name="40% - Accent3 2 2 2 2 2" xfId="6302"/>
    <cellStyle name="40% - Accent3 2 2 2 3" xfId="6303"/>
    <cellStyle name="40% - Accent3 2 2 2 4" xfId="6304"/>
    <cellStyle name="40% - Accent3 2 2 4 2 2" xfId="6305"/>
    <cellStyle name="40% - Accent3 2 2 4 3" xfId="6306"/>
    <cellStyle name="40% - Accent3 2 2 7" xfId="6307"/>
    <cellStyle name="40% - Accent3 2 2 8" xfId="6308"/>
    <cellStyle name="40% - Accent3 2 2 9" xfId="6309"/>
    <cellStyle name="40% - Accent3 2 3 2 2" xfId="6310"/>
    <cellStyle name="40% - Accent3 2 3 3" xfId="6311"/>
    <cellStyle name="40% - Accent3 2 3 4" xfId="6312"/>
    <cellStyle name="40% - Accent3 2 4 2 2 2" xfId="6313"/>
    <cellStyle name="40% - Accent3 2 5 2 2" xfId="6314"/>
    <cellStyle name="40% - Accent3 2 5 3 2" xfId="6315"/>
    <cellStyle name="40% - Accent3 2 5 4" xfId="6316"/>
    <cellStyle name="40% - Accent3 2 5 5" xfId="6317"/>
    <cellStyle name="40% - Accent3 2 6 2 2" xfId="6318"/>
    <cellStyle name="40% - Accent3 2 6 3" xfId="6319"/>
    <cellStyle name="40% - Accent3 2 8 3" xfId="6320"/>
    <cellStyle name="40% - Accent3 2 8 2" xfId="6321"/>
    <cellStyle name="40% - Accent3 2 9" xfId="6322"/>
    <cellStyle name="40% - Accent3 3 10" xfId="6323"/>
    <cellStyle name="40% - Accent3 3 11" xfId="6324"/>
    <cellStyle name="40% - Accent3 3 2 2 2 2" xfId="6325"/>
    <cellStyle name="40% - Accent3 3 2 2 3" xfId="6326"/>
    <cellStyle name="40% - Accent3 3 2 2 4" xfId="6327"/>
    <cellStyle name="40% - Accent3 3 2 4 2 2" xfId="6328"/>
    <cellStyle name="40% - Accent3 3 2 4 3" xfId="6329"/>
    <cellStyle name="40% - Accent3 3 2 7" xfId="6330"/>
    <cellStyle name="40% - Accent3 3 2 8" xfId="6331"/>
    <cellStyle name="40% - Accent3 3 2 9" xfId="6332"/>
    <cellStyle name="40% - Accent3 3 3 2 2" xfId="6333"/>
    <cellStyle name="40% - Accent3 3 3 3 2" xfId="6334"/>
    <cellStyle name="40% - Accent3 3 3 4" xfId="6335"/>
    <cellStyle name="40% - Accent3 3 3 5" xfId="6336"/>
    <cellStyle name="40% - Accent3 3 4 2 2 2" xfId="6337"/>
    <cellStyle name="40% - Accent3 3 5 2 2" xfId="6338"/>
    <cellStyle name="40% - Accent3 3 5 3" xfId="6339"/>
    <cellStyle name="40% - Accent3 3 6 2 2" xfId="6340"/>
    <cellStyle name="40% - Accent3 3 6 3" xfId="6341"/>
    <cellStyle name="40% - Accent3 3 8" xfId="6342"/>
    <cellStyle name="40% - Accent3 3 9" xfId="6343"/>
    <cellStyle name="40% - Accent3 4 2 2 2" xfId="6344"/>
    <cellStyle name="40% - Accent3 4 2 3 2" xfId="6345"/>
    <cellStyle name="40% - Accent3 4 2 4" xfId="6346"/>
    <cellStyle name="40% - Accent3 4 2 5" xfId="6347"/>
    <cellStyle name="40% - Accent3 4 4 2 2" xfId="6348"/>
    <cellStyle name="40% - Accent3 4 4 3" xfId="6349"/>
    <cellStyle name="40% - Accent3 4 7" xfId="6350"/>
    <cellStyle name="40% - Accent3 4 8" xfId="6351"/>
    <cellStyle name="40% - Accent3 4 9" xfId="6352"/>
    <cellStyle name="40% - Accent3 5 4" xfId="6353"/>
    <cellStyle name="40% - Accent3 5 2 3" xfId="6354"/>
    <cellStyle name="40% - Accent3 5 2 2 2" xfId="6355"/>
    <cellStyle name="40% - Accent3 5 3 2" xfId="6356"/>
    <cellStyle name="40% - Accent3 6 3" xfId="6357"/>
    <cellStyle name="40% - Accent3 6 2 2" xfId="6358"/>
    <cellStyle name="40% - Accent4 2 10" xfId="6359"/>
    <cellStyle name="40% - Accent4 2 11" xfId="6360"/>
    <cellStyle name="40% - Accent4 2 2 10" xfId="6361"/>
    <cellStyle name="40% - Accent4 2 2 2 2 2" xfId="6362"/>
    <cellStyle name="40% - Accent4 2 2 2 3" xfId="6363"/>
    <cellStyle name="40% - Accent4 2 2 2 4" xfId="6364"/>
    <cellStyle name="40% - Accent4 2 2 4 2 2" xfId="6365"/>
    <cellStyle name="40% - Accent4 2 2 4 3" xfId="6366"/>
    <cellStyle name="40% - Accent4 2 2 5 2 2" xfId="6367"/>
    <cellStyle name="40% - Accent4 2 2 5 3" xfId="6368"/>
    <cellStyle name="40% - Accent4 2 2 7" xfId="6369"/>
    <cellStyle name="40% - Accent4 2 2 8" xfId="6370"/>
    <cellStyle name="40% - Accent4 2 2 9" xfId="6371"/>
    <cellStyle name="40% - Accent4 2 3 2 2" xfId="6372"/>
    <cellStyle name="40% - Accent4 2 3 3 2" xfId="6373"/>
    <cellStyle name="40% - Accent4 2 3 4" xfId="6374"/>
    <cellStyle name="40% - Accent4 2 3 5" xfId="6375"/>
    <cellStyle name="40% - Accent4 2 4 2 2 2" xfId="6376"/>
    <cellStyle name="40% - Accent4 2 4 3 2 2" xfId="6377"/>
    <cellStyle name="40% - Accent4 2 4 4 2" xfId="6378"/>
    <cellStyle name="40% - Accent4 2 4 5" xfId="6379"/>
    <cellStyle name="40% - Accent4 2 5 2 2" xfId="6380"/>
    <cellStyle name="40% - Accent4 2 5 3 2" xfId="6381"/>
    <cellStyle name="40% - Accent4 2 5 4" xfId="6382"/>
    <cellStyle name="40% - Accent4 2 5 5" xfId="6383"/>
    <cellStyle name="40% - Accent4 2 6 2 2" xfId="6384"/>
    <cellStyle name="40% - Accent4 2 6 3" xfId="6385"/>
    <cellStyle name="40% - Accent4 2 7 2" xfId="6386"/>
    <cellStyle name="40% - Accent4 2 8 3" xfId="6387"/>
    <cellStyle name="40% - Accent4 2 8 2" xfId="6388"/>
    <cellStyle name="40% - Accent4 2 9" xfId="6389"/>
    <cellStyle name="40% - Accent4 3 10" xfId="6390"/>
    <cellStyle name="40% - Accent4 3 11" xfId="6391"/>
    <cellStyle name="40% - Accent4 3 2 10" xfId="6392"/>
    <cellStyle name="40% - Accent4 3 2 2 2 2" xfId="6393"/>
    <cellStyle name="40% - Accent4 3 2 2 3" xfId="6394"/>
    <cellStyle name="40% - Accent4 3 2 2 4" xfId="6395"/>
    <cellStyle name="40% - Accent4 3 2 4 2 2" xfId="6396"/>
    <cellStyle name="40% - Accent4 3 2 4 3" xfId="6397"/>
    <cellStyle name="40% - Accent4 3 2 5 2 2" xfId="6398"/>
    <cellStyle name="40% - Accent4 3 2 5 3" xfId="6399"/>
    <cellStyle name="40% - Accent4 3 2 7" xfId="6400"/>
    <cellStyle name="40% - Accent4 3 2 8" xfId="6401"/>
    <cellStyle name="40% - Accent4 3 2 9" xfId="6402"/>
    <cellStyle name="40% - Accent4 3 3 2 2" xfId="6403"/>
    <cellStyle name="40% - Accent4 3 3 3 2" xfId="6404"/>
    <cellStyle name="40% - Accent4 3 3 4" xfId="6405"/>
    <cellStyle name="40% - Accent4 3 3 5" xfId="6406"/>
    <cellStyle name="40% - Accent4 3 4 2 2 2" xfId="6407"/>
    <cellStyle name="40% - Accent4 3 5 2 2" xfId="6408"/>
    <cellStyle name="40% - Accent4 3 5 3" xfId="6409"/>
    <cellStyle name="40% - Accent4 3 6 2 2" xfId="6410"/>
    <cellStyle name="40% - Accent4 3 6 3" xfId="6411"/>
    <cellStyle name="40% - Accent4 3 8" xfId="6412"/>
    <cellStyle name="40% - Accent4 3 9" xfId="6413"/>
    <cellStyle name="40% - Accent4 4 10" xfId="6414"/>
    <cellStyle name="40% - Accent4 4 2 2 2" xfId="6415"/>
    <cellStyle name="40% - Accent4 4 2 3 2" xfId="6416"/>
    <cellStyle name="40% - Accent4 4 2 4" xfId="6417"/>
    <cellStyle name="40% - Accent4 4 2 5" xfId="6418"/>
    <cellStyle name="40% - Accent4 4 3 2 2 2" xfId="6419"/>
    <cellStyle name="40% - Accent4 4 4 2 2" xfId="6420"/>
    <cellStyle name="40% - Accent4 4 4 3" xfId="6421"/>
    <cellStyle name="40% - Accent4 4 5 2 2" xfId="6422"/>
    <cellStyle name="40% - Accent4 4 5 3" xfId="6423"/>
    <cellStyle name="40% - Accent4 4 7" xfId="6424"/>
    <cellStyle name="40% - Accent4 4 8" xfId="6425"/>
    <cellStyle name="40% - Accent4 4 9" xfId="6426"/>
    <cellStyle name="40% - Accent4 5 4" xfId="6427"/>
    <cellStyle name="40% - Accent4 5 2 3" xfId="6428"/>
    <cellStyle name="40% - Accent4 5 2 2 2" xfId="6429"/>
    <cellStyle name="40% - Accent4 5 3 2" xfId="6430"/>
    <cellStyle name="40% - Accent4 6 3" xfId="6431"/>
    <cellStyle name="40% - Accent4 6 2 2" xfId="6432"/>
    <cellStyle name="40% - Accent5 2 10" xfId="6433"/>
    <cellStyle name="40% - Accent5 2 11" xfId="6434"/>
    <cellStyle name="40% - Accent5 2 2 10" xfId="6435"/>
    <cellStyle name="40% - Accent5 2 2 2 2 2" xfId="6436"/>
    <cellStyle name="40% - Accent5 2 2 2 3" xfId="6437"/>
    <cellStyle name="40% - Accent5 2 2 2 4" xfId="6438"/>
    <cellStyle name="40% - Accent5 2 2 4 2 2" xfId="6439"/>
    <cellStyle name="40% - Accent5 2 2 4 3" xfId="6440"/>
    <cellStyle name="40% - Accent5 2 2 5 2 2" xfId="6441"/>
    <cellStyle name="40% - Accent5 2 2 5 3" xfId="6442"/>
    <cellStyle name="40% - Accent5 2 2 7" xfId="6443"/>
    <cellStyle name="40% - Accent5 2 2 8" xfId="6444"/>
    <cellStyle name="40% - Accent5 2 2 9" xfId="6445"/>
    <cellStyle name="40% - Accent5 2 3 2 2" xfId="6446"/>
    <cellStyle name="40% - Accent5 2 3 3 2" xfId="6447"/>
    <cellStyle name="40% - Accent5 2 3 4" xfId="6448"/>
    <cellStyle name="40% - Accent5 2 3 5" xfId="6449"/>
    <cellStyle name="40% - Accent5 2 4 2 2 2" xfId="6450"/>
    <cellStyle name="40% - Accent5 2 4 3 2 2" xfId="6451"/>
    <cellStyle name="40% - Accent5 2 4 4 2" xfId="6452"/>
    <cellStyle name="40% - Accent5 2 4 5" xfId="6453"/>
    <cellStyle name="40% - Accent5 2 5 2 2" xfId="6454"/>
    <cellStyle name="40% - Accent5 2 5 3 2" xfId="6455"/>
    <cellStyle name="40% - Accent5 2 5 4" xfId="6456"/>
    <cellStyle name="40% - Accent5 2 5 5" xfId="6457"/>
    <cellStyle name="40% - Accent5 2 6 2 2" xfId="6458"/>
    <cellStyle name="40% - Accent5 2 6 3" xfId="6459"/>
    <cellStyle name="40% - Accent5 2 7 2" xfId="6460"/>
    <cellStyle name="40% - Accent5 2 8 3" xfId="6461"/>
    <cellStyle name="40% - Accent5 2 8 2" xfId="6462"/>
    <cellStyle name="40% - Accent5 2 9" xfId="6463"/>
    <cellStyle name="40% - Accent5 3 10" xfId="6464"/>
    <cellStyle name="40% - Accent5 3 11" xfId="6465"/>
    <cellStyle name="40% - Accent5 3 2 10" xfId="6466"/>
    <cellStyle name="40% - Accent5 3 2 2 2 2" xfId="6467"/>
    <cellStyle name="40% - Accent5 3 2 2 3" xfId="6468"/>
    <cellStyle name="40% - Accent5 3 2 2 4" xfId="6469"/>
    <cellStyle name="40% - Accent5 3 2 4 2 2" xfId="6470"/>
    <cellStyle name="40% - Accent5 3 2 4 3" xfId="6471"/>
    <cellStyle name="40% - Accent5 3 2 5 2 2" xfId="6472"/>
    <cellStyle name="40% - Accent5 3 2 5 3" xfId="6473"/>
    <cellStyle name="40% - Accent5 3 2 7" xfId="6474"/>
    <cellStyle name="40% - Accent5 3 2 8" xfId="6475"/>
    <cellStyle name="40% - Accent5 3 2 9" xfId="6476"/>
    <cellStyle name="40% - Accent5 3 3 2 2" xfId="6477"/>
    <cellStyle name="40% - Accent5 3 3 3 2" xfId="6478"/>
    <cellStyle name="40% - Accent5 3 3 4" xfId="6479"/>
    <cellStyle name="40% - Accent5 3 3 5" xfId="6480"/>
    <cellStyle name="40% - Accent5 3 4 2 2 2" xfId="6481"/>
    <cellStyle name="40% - Accent5 3 5 2 2" xfId="6482"/>
    <cellStyle name="40% - Accent5 3 5 3" xfId="6483"/>
    <cellStyle name="40% - Accent5 3 6 2 2" xfId="6484"/>
    <cellStyle name="40% - Accent5 3 6 3" xfId="6485"/>
    <cellStyle name="40% - Accent5 3 8" xfId="6486"/>
    <cellStyle name="40% - Accent5 3 9" xfId="6487"/>
    <cellStyle name="40% - Accent5 4 10" xfId="6488"/>
    <cellStyle name="40% - Accent5 4 2 2 2" xfId="6489"/>
    <cellStyle name="40% - Accent5 4 2 3 2" xfId="6490"/>
    <cellStyle name="40% - Accent5 4 2 4" xfId="6491"/>
    <cellStyle name="40% - Accent5 4 2 5" xfId="6492"/>
    <cellStyle name="40% - Accent5 4 3 2 2 2" xfId="6493"/>
    <cellStyle name="40% - Accent5 4 4 2 2" xfId="6494"/>
    <cellStyle name="40% - Accent5 4 4 3" xfId="6495"/>
    <cellStyle name="40% - Accent5 4 5 2 2" xfId="6496"/>
    <cellStyle name="40% - Accent5 4 5 3" xfId="6497"/>
    <cellStyle name="40% - Accent5 4 7" xfId="6498"/>
    <cellStyle name="40% - Accent5 4 8" xfId="6499"/>
    <cellStyle name="40% - Accent5 4 9" xfId="6500"/>
    <cellStyle name="40% - Accent5 5 4" xfId="6501"/>
    <cellStyle name="40% - Accent5 5 2 3" xfId="6502"/>
    <cellStyle name="40% - Accent5 5 2 2 2" xfId="6503"/>
    <cellStyle name="40% - Accent5 5 3 2" xfId="6504"/>
    <cellStyle name="40% - Accent5 6 3" xfId="6505"/>
    <cellStyle name="40% - Accent5 6 2 2" xfId="6506"/>
    <cellStyle name="40% - Accent6 2 10" xfId="6507"/>
    <cellStyle name="40% - Accent6 2 11" xfId="6508"/>
    <cellStyle name="40% - Accent6 2 2 10" xfId="6509"/>
    <cellStyle name="40% - Accent6 2 2 2 2 2" xfId="6510"/>
    <cellStyle name="40% - Accent6 2 2 2 3" xfId="6511"/>
    <cellStyle name="40% - Accent6 2 2 2 4" xfId="6512"/>
    <cellStyle name="40% - Accent6 2 2 4 2 2" xfId="6513"/>
    <cellStyle name="40% - Accent6 2 2 4 3" xfId="6514"/>
    <cellStyle name="40% - Accent6 2 2 5 2 2" xfId="6515"/>
    <cellStyle name="40% - Accent6 2 2 5 3" xfId="6516"/>
    <cellStyle name="40% - Accent6 2 2 7" xfId="6517"/>
    <cellStyle name="40% - Accent6 2 2 8" xfId="6518"/>
    <cellStyle name="40% - Accent6 2 2 9" xfId="6519"/>
    <cellStyle name="40% - Accent6 2 3 2 2" xfId="6520"/>
    <cellStyle name="40% - Accent6 2 3 3 2" xfId="6521"/>
    <cellStyle name="40% - Accent6 2 3 4" xfId="6522"/>
    <cellStyle name="40% - Accent6 2 3 5" xfId="6523"/>
    <cellStyle name="40% - Accent6 2 4 2 2 2" xfId="6524"/>
    <cellStyle name="40% - Accent6 2 4 3 2 2" xfId="6525"/>
    <cellStyle name="40% - Accent6 2 4 4 2" xfId="6526"/>
    <cellStyle name="40% - Accent6 2 4 5" xfId="6527"/>
    <cellStyle name="40% - Accent6 2 5 2 2" xfId="6528"/>
    <cellStyle name="40% - Accent6 2 5 3 2" xfId="6529"/>
    <cellStyle name="40% - Accent6 2 5 4" xfId="6530"/>
    <cellStyle name="40% - Accent6 2 5 5" xfId="6531"/>
    <cellStyle name="40% - Accent6 2 6 2 2" xfId="6532"/>
    <cellStyle name="40% - Accent6 2 6 3" xfId="6533"/>
    <cellStyle name="40% - Accent6 2 7 2" xfId="6534"/>
    <cellStyle name="40% - Accent6 2 8 3" xfId="6535"/>
    <cellStyle name="40% - Accent6 2 8 2" xfId="6536"/>
    <cellStyle name="40% - Accent6 2 9" xfId="6537"/>
    <cellStyle name="40% - Accent6 3 10" xfId="6538"/>
    <cellStyle name="40% - Accent6 3 11" xfId="6539"/>
    <cellStyle name="40% - Accent6 3 2 10" xfId="6540"/>
    <cellStyle name="40% - Accent6 3 2 2 2 2" xfId="6541"/>
    <cellStyle name="40% - Accent6 3 2 2 3" xfId="6542"/>
    <cellStyle name="40% - Accent6 3 2 2 4" xfId="6543"/>
    <cellStyle name="40% - Accent6 3 2 4 2 2" xfId="6544"/>
    <cellStyle name="40% - Accent6 3 2 4 3" xfId="6545"/>
    <cellStyle name="40% - Accent6 3 2 5 2 2" xfId="6546"/>
    <cellStyle name="40% - Accent6 3 2 5 3" xfId="6547"/>
    <cellStyle name="40% - Accent6 3 2 7" xfId="6548"/>
    <cellStyle name="40% - Accent6 3 2 8" xfId="6549"/>
    <cellStyle name="40% - Accent6 3 2 9" xfId="6550"/>
    <cellStyle name="40% - Accent6 3 3 2 2" xfId="6551"/>
    <cellStyle name="40% - Accent6 3 3 3 2" xfId="6552"/>
    <cellStyle name="40% - Accent6 3 3 4" xfId="6553"/>
    <cellStyle name="40% - Accent6 3 3 5" xfId="6554"/>
    <cellStyle name="40% - Accent6 3 4 2 2 2" xfId="6555"/>
    <cellStyle name="40% - Accent6 3 5 2 2" xfId="6556"/>
    <cellStyle name="40% - Accent6 3 5 3" xfId="6557"/>
    <cellStyle name="40% - Accent6 3 6 2 2" xfId="6558"/>
    <cellStyle name="40% - Accent6 3 6 3" xfId="6559"/>
    <cellStyle name="40% - Accent6 3 8" xfId="6560"/>
    <cellStyle name="40% - Accent6 3 9" xfId="6561"/>
    <cellStyle name="40% - Accent6 4 10" xfId="6562"/>
    <cellStyle name="40% - Accent6 4 2 2 2" xfId="6563"/>
    <cellStyle name="40% - Accent6 4 2 3 2" xfId="6564"/>
    <cellStyle name="40% - Accent6 4 2 4" xfId="6565"/>
    <cellStyle name="40% - Accent6 4 2 5" xfId="6566"/>
    <cellStyle name="40% - Accent6 4 3 2 2 2" xfId="6567"/>
    <cellStyle name="40% - Accent6 4 4 2 2" xfId="6568"/>
    <cellStyle name="40% - Accent6 4 4 3" xfId="6569"/>
    <cellStyle name="40% - Accent6 4 5 2 2" xfId="6570"/>
    <cellStyle name="40% - Accent6 4 5 3" xfId="6571"/>
    <cellStyle name="40% - Accent6 4 7" xfId="6572"/>
    <cellStyle name="40% - Accent6 4 8" xfId="6573"/>
    <cellStyle name="40% - Accent6 4 9" xfId="6574"/>
    <cellStyle name="40% - Accent6 5 4" xfId="6575"/>
    <cellStyle name="40% - Accent6 5 2 3" xfId="6576"/>
    <cellStyle name="40% - Accent6 5 2 2 2" xfId="6577"/>
    <cellStyle name="40% - Accent6 5 3 2" xfId="6578"/>
    <cellStyle name="40% - Accent6 6 3" xfId="6579"/>
    <cellStyle name="40% - Accent6 6 2 2" xfId="6580"/>
    <cellStyle name="40% - 강조색1 2 10" xfId="6581"/>
    <cellStyle name="40% - 강조색1 2 2 2 2" xfId="6582"/>
    <cellStyle name="40% - 강조색1 2 2 3" xfId="6583"/>
    <cellStyle name="40% - 강조색1 2 2 4" xfId="6584"/>
    <cellStyle name="40% - 강조색1 2 4 2 2" xfId="6585"/>
    <cellStyle name="40% - 강조색1 2 4 3" xfId="6586"/>
    <cellStyle name="40% - 강조색1 2 5 2 2" xfId="6587"/>
    <cellStyle name="40% - 강조색1 2 5 3" xfId="6588"/>
    <cellStyle name="40% - 강조색1 2 7" xfId="6589"/>
    <cellStyle name="40% - 강조색1 2 8" xfId="6590"/>
    <cellStyle name="40% - 강조색1 2 9" xfId="6591"/>
    <cellStyle name="40% - 강조색1 3 3" xfId="6592"/>
    <cellStyle name="40% - 강조색1 3 2 2" xfId="6593"/>
    <cellStyle name="40% - 강조색2 2 10" xfId="6594"/>
    <cellStyle name="40% - 강조색2 2 2 2 2" xfId="6595"/>
    <cellStyle name="40% - 강조색2 2 2 3" xfId="6596"/>
    <cellStyle name="40% - 강조색2 2 4 2 2" xfId="6597"/>
    <cellStyle name="40% - 강조색2 2 4 3" xfId="6598"/>
    <cellStyle name="40% - 강조색2 2 5 2 2" xfId="6599"/>
    <cellStyle name="40% - 강조색2 2 5 3" xfId="6600"/>
    <cellStyle name="40% - 강조색2 2 7" xfId="6601"/>
    <cellStyle name="40% - 강조색2 2 8" xfId="6602"/>
    <cellStyle name="40% - 강조색2 2 9" xfId="6603"/>
    <cellStyle name="40% - 강조색2 3 2" xfId="6604"/>
    <cellStyle name="40% - 강조색3 2 10" xfId="6605"/>
    <cellStyle name="40% - 강조색3 2 2 2 2" xfId="6606"/>
    <cellStyle name="40% - 강조색3 2 2 3" xfId="6607"/>
    <cellStyle name="40% - 강조색3 2 2 4" xfId="6608"/>
    <cellStyle name="40% - 강조색3 2 4 2 2" xfId="6609"/>
    <cellStyle name="40% - 강조색3 2 4 3" xfId="6610"/>
    <cellStyle name="40% - 강조색3 2 5 2 2" xfId="6611"/>
    <cellStyle name="40% - 강조색3 2 5 3" xfId="6612"/>
    <cellStyle name="40% - 강조색3 2 7" xfId="6613"/>
    <cellStyle name="40% - 강조색3 2 8" xfId="6614"/>
    <cellStyle name="40% - 강조색3 2 9" xfId="6615"/>
    <cellStyle name="40% - 강조색3 3 3" xfId="6616"/>
    <cellStyle name="40% - 강조색3 3 2 2" xfId="6617"/>
    <cellStyle name="40% - 강조색4 2 10" xfId="6618"/>
    <cellStyle name="40% - 강조색4 2 2 2 2" xfId="6619"/>
    <cellStyle name="40% - 강조색4 2 2 3" xfId="6620"/>
    <cellStyle name="40% - 강조색4 2 2 4" xfId="6621"/>
    <cellStyle name="40% - 강조색4 2 4 2 2" xfId="6622"/>
    <cellStyle name="40% - 강조색4 2 4 3" xfId="6623"/>
    <cellStyle name="40% - 강조색4 2 5 2 2" xfId="6624"/>
    <cellStyle name="40% - 강조색4 2 5 3" xfId="6625"/>
    <cellStyle name="40% - 강조색4 2 7" xfId="6626"/>
    <cellStyle name="40% - 강조색4 2 8" xfId="6627"/>
    <cellStyle name="40% - 강조색4 2 9" xfId="6628"/>
    <cellStyle name="40% - 강조색4 3 3" xfId="6629"/>
    <cellStyle name="40% - 강조색4 3 2 2" xfId="6630"/>
    <cellStyle name="40% - 강조색5 2 10" xfId="6631"/>
    <cellStyle name="40% - 강조색5 2 2 2 2" xfId="6632"/>
    <cellStyle name="40% - 강조색5 2 2 3" xfId="6633"/>
    <cellStyle name="40% - 강조색5 2 2 4" xfId="6634"/>
    <cellStyle name="40% - 강조색5 2 4 2 2" xfId="6635"/>
    <cellStyle name="40% - 강조색5 2 4 3" xfId="6636"/>
    <cellStyle name="40% - 강조색5 2 5 2 2" xfId="6637"/>
    <cellStyle name="40% - 강조색5 2 5 3" xfId="6638"/>
    <cellStyle name="40% - 강조색5 2 7" xfId="6639"/>
    <cellStyle name="40% - 강조색5 2 8" xfId="6640"/>
    <cellStyle name="40% - 강조색5 2 9" xfId="6641"/>
    <cellStyle name="40% - 강조색5 3 3" xfId="6642"/>
    <cellStyle name="40% - 강조색5 3 2 2" xfId="6643"/>
    <cellStyle name="40% - 강조색6 2 10" xfId="6644"/>
    <cellStyle name="40% - 강조색6 2 2 2 2" xfId="6645"/>
    <cellStyle name="40% - 강조색6 2 2 3" xfId="6646"/>
    <cellStyle name="40% - 강조색6 2 2 4" xfId="6647"/>
    <cellStyle name="40% - 강조색6 2 4 2 2" xfId="6648"/>
    <cellStyle name="40% - 강조색6 2 4 3" xfId="6649"/>
    <cellStyle name="40% - 강조색6 2 5 2 2" xfId="6650"/>
    <cellStyle name="40% - 강조색6 2 5 3" xfId="6651"/>
    <cellStyle name="40% - 강조색6 2 7" xfId="6652"/>
    <cellStyle name="40% - 강조색6 2 8" xfId="6653"/>
    <cellStyle name="40% - 강조색6 2 9" xfId="6654"/>
    <cellStyle name="40% - 강조색6 3 3" xfId="6655"/>
    <cellStyle name="40% - 강조색6 3 2 2" xfId="6656"/>
    <cellStyle name="60% - Accent1 2 8" xfId="6657"/>
    <cellStyle name="60% - Accent1 2 2 3" xfId="6658"/>
    <cellStyle name="60% - Accent1 2 2 2 2" xfId="6659"/>
    <cellStyle name="60% - Accent1 2 3 3" xfId="6660"/>
    <cellStyle name="60% - Accent1 2 3 2 2" xfId="6661"/>
    <cellStyle name="60% - Accent1 2 4 3" xfId="6662"/>
    <cellStyle name="60% - Accent1 2 4 2 2" xfId="6663"/>
    <cellStyle name="60% - Accent1 2 5 2" xfId="6664"/>
    <cellStyle name="60% - Accent1 2 6 2" xfId="6665"/>
    <cellStyle name="60% - Accent1 2 7 2" xfId="6666"/>
    <cellStyle name="60% - Accent1 3 4" xfId="6667"/>
    <cellStyle name="60% - Accent1 3 2 3" xfId="6668"/>
    <cellStyle name="60% - Accent1 3 2 2 2" xfId="6669"/>
    <cellStyle name="60% - Accent1 3 3 2" xfId="6670"/>
    <cellStyle name="60% - Accent1 4 3" xfId="6671"/>
    <cellStyle name="60% - Accent1 4 2 2" xfId="6672"/>
    <cellStyle name="60% - Accent1 5 3" xfId="6673"/>
    <cellStyle name="60% - Accent1 5 2 2" xfId="6674"/>
    <cellStyle name="60% - Accent1 6 2" xfId="6675"/>
    <cellStyle name="60% - Accent2 2 8" xfId="6676"/>
    <cellStyle name="60% - Accent2 2 2 3" xfId="6677"/>
    <cellStyle name="60% - Accent2 2 2 2 2" xfId="6678"/>
    <cellStyle name="60% - Accent2 2 3 3" xfId="6679"/>
    <cellStyle name="60% - Accent2 2 3 2 2" xfId="6680"/>
    <cellStyle name="60% - Accent2 2 4 3" xfId="6681"/>
    <cellStyle name="60% - Accent2 2 4 2 2" xfId="6682"/>
    <cellStyle name="60% - Accent2 2 5 2" xfId="6683"/>
    <cellStyle name="60% - Accent2 2 6 2" xfId="6684"/>
    <cellStyle name="60% - Accent2 2 7 2" xfId="6685"/>
    <cellStyle name="60% - Accent2 3 4" xfId="6686"/>
    <cellStyle name="60% - Accent2 3 2 3" xfId="6687"/>
    <cellStyle name="60% - Accent2 3 2 2 2" xfId="6688"/>
    <cellStyle name="60% - Accent2 3 3 2" xfId="6689"/>
    <cellStyle name="60% - Accent2 4 3" xfId="6690"/>
    <cellStyle name="60% - Accent2 4 2 2" xfId="6691"/>
    <cellStyle name="60% - Accent2 5 3" xfId="6692"/>
    <cellStyle name="60% - Accent2 5 2 2" xfId="6693"/>
    <cellStyle name="60% - Accent2 6 2" xfId="6694"/>
    <cellStyle name="60% - Accent3 2 8" xfId="6695"/>
    <cellStyle name="60% - Accent3 2 2 3" xfId="6696"/>
    <cellStyle name="60% - Accent3 2 2 2 2" xfId="6697"/>
    <cellStyle name="60% - Accent3 2 3 3" xfId="6698"/>
    <cellStyle name="60% - Accent3 2 3 2 2" xfId="6699"/>
    <cellStyle name="60% - Accent3 2 4 3" xfId="6700"/>
    <cellStyle name="60% - Accent3 2 4 2 2" xfId="6701"/>
    <cellStyle name="60% - Accent3 2 5 2" xfId="6702"/>
    <cellStyle name="60% - Accent3 2 6 2" xfId="6703"/>
    <cellStyle name="60% - Accent3 2 7 2" xfId="6704"/>
    <cellStyle name="60% - Accent3 3 4" xfId="6705"/>
    <cellStyle name="60% - Accent3 3 2 3" xfId="6706"/>
    <cellStyle name="60% - Accent3 3 2 2 2" xfId="6707"/>
    <cellStyle name="60% - Accent3 3 3 2" xfId="6708"/>
    <cellStyle name="60% - Accent3 4 3" xfId="6709"/>
    <cellStyle name="60% - Accent3 4 2 2" xfId="6710"/>
    <cellStyle name="60% - Accent3 5 3" xfId="6711"/>
    <cellStyle name="60% - Accent3 5 2 2" xfId="6712"/>
    <cellStyle name="60% - Accent3 6 2" xfId="6713"/>
    <cellStyle name="60% - Accent4 2 8" xfId="6714"/>
    <cellStyle name="60% - Accent4 2 2 3" xfId="6715"/>
    <cellStyle name="60% - Accent4 2 2 2 2" xfId="6716"/>
    <cellStyle name="60% - Accent4 2 3 3" xfId="6717"/>
    <cellStyle name="60% - Accent4 2 3 2 2" xfId="6718"/>
    <cellStyle name="60% - Accent4 2 4 3" xfId="6719"/>
    <cellStyle name="60% - Accent4 2 4 2 2" xfId="6720"/>
    <cellStyle name="60% - Accent4 2 5 2" xfId="6721"/>
    <cellStyle name="60% - Accent4 2 6 2" xfId="6722"/>
    <cellStyle name="60% - Accent4 2 7 2" xfId="6723"/>
    <cellStyle name="60% - Accent4 3 4" xfId="6724"/>
    <cellStyle name="60% - Accent4 3 2 3" xfId="6725"/>
    <cellStyle name="60% - Accent4 3 2 2 2" xfId="6726"/>
    <cellStyle name="60% - Accent4 3 3 2" xfId="6727"/>
    <cellStyle name="60% - Accent4 4 3" xfId="6728"/>
    <cellStyle name="60% - Accent4 4 2 2" xfId="6729"/>
    <cellStyle name="60% - Accent4 5 3" xfId="6730"/>
    <cellStyle name="60% - Accent4 5 2 2" xfId="6731"/>
    <cellStyle name="60% - Accent4 6 2" xfId="6732"/>
    <cellStyle name="60% - Accent5 2 8" xfId="6733"/>
    <cellStyle name="60% - Accent5 2 2 3" xfId="6734"/>
    <cellStyle name="60% - Accent5 2 2 2 2" xfId="6735"/>
    <cellStyle name="60% - Accent5 2 3 3" xfId="6736"/>
    <cellStyle name="60% - Accent5 2 3 2 2" xfId="6737"/>
    <cellStyle name="60% - Accent5 2 4 3" xfId="6738"/>
    <cellStyle name="60% - Accent5 2 4 2 2" xfId="6739"/>
    <cellStyle name="60% - Accent5 2 5 2" xfId="6740"/>
    <cellStyle name="60% - Accent5 2 6 2" xfId="6741"/>
    <cellStyle name="60% - Accent5 2 7 2" xfId="6742"/>
    <cellStyle name="60% - Accent5 3 4" xfId="6743"/>
    <cellStyle name="60% - Accent5 3 2 3" xfId="6744"/>
    <cellStyle name="60% - Accent5 3 2 2 2" xfId="6745"/>
    <cellStyle name="60% - Accent5 3 3 2" xfId="6746"/>
    <cellStyle name="60% - Accent5 4 3" xfId="6747"/>
    <cellStyle name="60% - Accent5 4 2 2" xfId="6748"/>
    <cellStyle name="60% - Accent5 5 3" xfId="6749"/>
    <cellStyle name="60% - Accent5 5 2 2" xfId="6750"/>
    <cellStyle name="60% - Accent5 6 2" xfId="6751"/>
    <cellStyle name="60% - Accent6 2 8" xfId="6752"/>
    <cellStyle name="60% - Accent6 2 2 3" xfId="6753"/>
    <cellStyle name="60% - Accent6 2 2 2 2" xfId="6754"/>
    <cellStyle name="60% - Accent6 2 3 3" xfId="6755"/>
    <cellStyle name="60% - Accent6 2 3 2 2" xfId="6756"/>
    <cellStyle name="60% - Accent6 2 4 3" xfId="6757"/>
    <cellStyle name="60% - Accent6 2 4 2 2" xfId="6758"/>
    <cellStyle name="60% - Accent6 2 5 2" xfId="6759"/>
    <cellStyle name="60% - Accent6 2 6 2" xfId="6760"/>
    <cellStyle name="60% - Accent6 2 7 2" xfId="6761"/>
    <cellStyle name="60% - Accent6 3 4" xfId="6762"/>
    <cellStyle name="60% - Accent6 3 2 3" xfId="6763"/>
    <cellStyle name="60% - Accent6 3 2 2 2" xfId="6764"/>
    <cellStyle name="60% - Accent6 3 3 2" xfId="6765"/>
    <cellStyle name="60% - Accent6 4 3" xfId="6766"/>
    <cellStyle name="60% - Accent6 4 2 2" xfId="6767"/>
    <cellStyle name="60% - Accent6 5 3" xfId="6768"/>
    <cellStyle name="60% - Accent6 5 2 2" xfId="6769"/>
    <cellStyle name="60% - Accent6 6 2" xfId="6770"/>
    <cellStyle name="60% - 강조색1 2 10" xfId="6771"/>
    <cellStyle name="60% - 강조색1 2 2 2 2" xfId="6772"/>
    <cellStyle name="60% - 강조색1 2 2 3" xfId="6773"/>
    <cellStyle name="60% - 강조색1 2 2 4" xfId="6774"/>
    <cellStyle name="60% - 강조색1 2 4 2 2" xfId="6775"/>
    <cellStyle name="60% - 강조색1 2 4 3" xfId="6776"/>
    <cellStyle name="60% - 강조색1 2 5 2 2" xfId="6777"/>
    <cellStyle name="60% - 강조색1 2 5 3" xfId="6778"/>
    <cellStyle name="60% - 강조색1 2 7" xfId="6779"/>
    <cellStyle name="60% - 강조색1 2 8" xfId="6780"/>
    <cellStyle name="60% - 강조색1 2 9" xfId="6781"/>
    <cellStyle name="60% - 강조색1 3 3" xfId="6782"/>
    <cellStyle name="60% - 강조색1 3 2 2" xfId="6783"/>
    <cellStyle name="60% - 강조색2 2 10" xfId="6784"/>
    <cellStyle name="60% - 강조색2 2 2 2 2" xfId="6785"/>
    <cellStyle name="60% - 강조색2 2 2 3" xfId="6786"/>
    <cellStyle name="60% - 강조색2 2 2 4" xfId="6787"/>
    <cellStyle name="60% - 강조색2 2 4 2 2" xfId="6788"/>
    <cellStyle name="60% - 강조색2 2 4 3" xfId="6789"/>
    <cellStyle name="60% - 강조색2 2 5 2 2" xfId="6790"/>
    <cellStyle name="60% - 강조색2 2 5 3" xfId="6791"/>
    <cellStyle name="60% - 강조색2 2 7" xfId="6792"/>
    <cellStyle name="60% - 강조색2 2 8" xfId="6793"/>
    <cellStyle name="60% - 강조색2 2 9" xfId="6794"/>
    <cellStyle name="60% - 강조색2 3 3" xfId="6795"/>
    <cellStyle name="60% - 강조색2 3 2 2" xfId="6796"/>
    <cellStyle name="60% - 강조색3 2 10" xfId="6797"/>
    <cellStyle name="60% - 강조색3 2 2 2 2" xfId="6798"/>
    <cellStyle name="60% - 강조색3 2 2 3" xfId="6799"/>
    <cellStyle name="60% - 강조색3 2 2 4" xfId="6800"/>
    <cellStyle name="60% - 강조색3 2 4 2 2" xfId="6801"/>
    <cellStyle name="60% - 강조색3 2 4 3" xfId="6802"/>
    <cellStyle name="60% - 강조색3 2 5 2 2" xfId="6803"/>
    <cellStyle name="60% - 강조색3 2 5 3" xfId="6804"/>
    <cellStyle name="60% - 강조색3 2 7" xfId="6805"/>
    <cellStyle name="60% - 강조색3 2 8" xfId="6806"/>
    <cellStyle name="60% - 강조색3 2 9" xfId="6807"/>
    <cellStyle name="60% - 강조색3 3 3" xfId="6808"/>
    <cellStyle name="60% - 강조색3 3 2 2" xfId="6809"/>
    <cellStyle name="60% - 강조색4 2 10" xfId="6810"/>
    <cellStyle name="60% - 강조색4 2 2 2 2" xfId="6811"/>
    <cellStyle name="60% - 강조색4 2 2 3" xfId="6812"/>
    <cellStyle name="60% - 강조색4 2 2 4" xfId="6813"/>
    <cellStyle name="60% - 강조색4 2 4 2 2" xfId="6814"/>
    <cellStyle name="60% - 강조색4 2 4 3" xfId="6815"/>
    <cellStyle name="60% - 강조색4 2 5 2 2" xfId="6816"/>
    <cellStyle name="60% - 강조색4 2 5 3" xfId="6817"/>
    <cellStyle name="60% - 강조색4 2 7" xfId="6818"/>
    <cellStyle name="60% - 강조색4 2 8" xfId="6819"/>
    <cellStyle name="60% - 강조색4 2 9" xfId="6820"/>
    <cellStyle name="60% - 강조색4 3 3" xfId="6821"/>
    <cellStyle name="60% - 강조색4 3 2 2" xfId="6822"/>
    <cellStyle name="60% - 강조색5 2 10" xfId="6823"/>
    <cellStyle name="60% - 강조색5 2 2 2 2" xfId="6824"/>
    <cellStyle name="60% - 강조색5 2 2 3" xfId="6825"/>
    <cellStyle name="60% - 강조색5 2 2 4" xfId="6826"/>
    <cellStyle name="60% - 강조색5 2 4 2 2" xfId="6827"/>
    <cellStyle name="60% - 강조색5 2 4 3" xfId="6828"/>
    <cellStyle name="60% - 강조색5 2 5 2 2" xfId="6829"/>
    <cellStyle name="60% - 강조색5 2 5 3" xfId="6830"/>
    <cellStyle name="60% - 강조색5 2 7" xfId="6831"/>
    <cellStyle name="60% - 강조색5 2 8" xfId="6832"/>
    <cellStyle name="60% - 강조색5 2 9" xfId="6833"/>
    <cellStyle name="60% - 강조색5 3 3" xfId="6834"/>
    <cellStyle name="60% - 강조색5 3 2 2" xfId="6835"/>
    <cellStyle name="60% - 강조색6 2 10" xfId="6836"/>
    <cellStyle name="60% - 강조색6 2 2 2 2" xfId="6837"/>
    <cellStyle name="60% - 강조색6 2 2 3" xfId="6838"/>
    <cellStyle name="60% - 강조색6 2 2 4" xfId="6839"/>
    <cellStyle name="60% - 강조색6 2 4 2 2" xfId="6840"/>
    <cellStyle name="60% - 강조색6 2 4 3" xfId="6841"/>
    <cellStyle name="60% - 강조색6 2 5 2 2" xfId="6842"/>
    <cellStyle name="60% - 강조색6 2 5 3" xfId="6843"/>
    <cellStyle name="60% - 강조색6 2 7" xfId="6844"/>
    <cellStyle name="60% - 강조색6 2 8" xfId="6845"/>
    <cellStyle name="60% - 강조색6 2 9" xfId="6846"/>
    <cellStyle name="60% - 강조색6 3 3" xfId="6847"/>
    <cellStyle name="60% - 강조색6 3 2 2" xfId="6848"/>
    <cellStyle name="Accent1 2 8" xfId="6849"/>
    <cellStyle name="Accent1 2 2 3" xfId="6850"/>
    <cellStyle name="Accent1 2 2 2 2" xfId="6851"/>
    <cellStyle name="Accent1 2 3 3" xfId="6852"/>
    <cellStyle name="Accent1 2 3 2 2" xfId="6853"/>
    <cellStyle name="Accent1 2 4 3" xfId="6854"/>
    <cellStyle name="Accent1 2 4 2 2" xfId="6855"/>
    <cellStyle name="Accent1 2 5 2" xfId="6856"/>
    <cellStyle name="Accent1 2 6 2" xfId="6857"/>
    <cellStyle name="Accent1 2 7 2" xfId="6858"/>
    <cellStyle name="Accent1 3 4" xfId="6859"/>
    <cellStyle name="Accent1 3 2 3" xfId="6860"/>
    <cellStyle name="Accent1 3 2 2 2" xfId="6861"/>
    <cellStyle name="Accent1 3 3 2" xfId="6862"/>
    <cellStyle name="Accent1 4 3" xfId="6863"/>
    <cellStyle name="Accent1 4 2 2" xfId="6864"/>
    <cellStyle name="Accent1 5 3" xfId="6865"/>
    <cellStyle name="Accent1 5 2 2" xfId="6866"/>
    <cellStyle name="Accent1 6 2" xfId="6867"/>
    <cellStyle name="Accent2 2 8" xfId="6868"/>
    <cellStyle name="Accent2 2 2 3" xfId="6869"/>
    <cellStyle name="Accent2 2 2 2 2" xfId="6870"/>
    <cellStyle name="Accent2 2 3 3" xfId="6871"/>
    <cellStyle name="Accent2 2 3 2 2" xfId="6872"/>
    <cellStyle name="Accent2 2 4 3" xfId="6873"/>
    <cellStyle name="Accent2 2 4 2 2" xfId="6874"/>
    <cellStyle name="Accent2 2 5 2" xfId="6875"/>
    <cellStyle name="Accent2 2 6 2" xfId="6876"/>
    <cellStyle name="Accent2 2 7 2" xfId="6877"/>
    <cellStyle name="Accent2 3 4" xfId="6878"/>
    <cellStyle name="Accent2 3 2 3" xfId="6879"/>
    <cellStyle name="Accent2 3 2 2 2" xfId="6880"/>
    <cellStyle name="Accent2 3 3 2" xfId="6881"/>
    <cellStyle name="Accent2 4 3" xfId="6882"/>
    <cellStyle name="Accent2 4 2 2" xfId="6883"/>
    <cellStyle name="Accent2 5 3" xfId="6884"/>
    <cellStyle name="Accent2 5 2 2" xfId="6885"/>
    <cellStyle name="Accent2 6 2" xfId="6886"/>
    <cellStyle name="Accent3 2 8" xfId="6887"/>
    <cellStyle name="Accent3 2 2 3" xfId="6888"/>
    <cellStyle name="Accent3 2 2 2 2" xfId="6889"/>
    <cellStyle name="Accent3 2 3 3" xfId="6890"/>
    <cellStyle name="Accent3 2 3 2 2" xfId="6891"/>
    <cellStyle name="Accent3 2 4 3" xfId="6892"/>
    <cellStyle name="Accent3 2 4 2 2" xfId="6893"/>
    <cellStyle name="Accent3 2 5 2" xfId="6894"/>
    <cellStyle name="Accent3 2 6 2" xfId="6895"/>
    <cellStyle name="Accent3 2 7 2" xfId="6896"/>
    <cellStyle name="Accent3 3 4" xfId="6897"/>
    <cellStyle name="Accent3 3 2 3" xfId="6898"/>
    <cellStyle name="Accent3 3 2 2 2" xfId="6899"/>
    <cellStyle name="Accent3 3 3 2" xfId="6900"/>
    <cellStyle name="Accent3 4 3" xfId="6901"/>
    <cellStyle name="Accent3 4 2 2" xfId="6902"/>
    <cellStyle name="Accent3 5 3" xfId="6903"/>
    <cellStyle name="Accent3 5 2 2" xfId="6904"/>
    <cellStyle name="Accent3 6 2" xfId="6905"/>
    <cellStyle name="Accent4 2 8" xfId="6906"/>
    <cellStyle name="Accent4 2 2 3" xfId="6907"/>
    <cellStyle name="Accent4 2 2 2 2" xfId="6908"/>
    <cellStyle name="Accent4 2 3 3" xfId="6909"/>
    <cellStyle name="Accent4 2 3 2 2" xfId="6910"/>
    <cellStyle name="Accent4 2 4 3" xfId="6911"/>
    <cellStyle name="Accent4 2 4 2 2" xfId="6912"/>
    <cellStyle name="Accent4 2 5 2" xfId="6913"/>
    <cellStyle name="Accent4 2 6 2" xfId="6914"/>
    <cellStyle name="Accent4 2 7 2" xfId="6915"/>
    <cellStyle name="Accent4 3 4" xfId="6916"/>
    <cellStyle name="Accent4 3 2 3" xfId="6917"/>
    <cellStyle name="Accent4 3 2 2 2" xfId="6918"/>
    <cellStyle name="Accent4 3 3 2" xfId="6919"/>
    <cellStyle name="Accent4 4 3" xfId="6920"/>
    <cellStyle name="Accent4 4 2 2" xfId="6921"/>
    <cellStyle name="Accent4 5 3" xfId="6922"/>
    <cellStyle name="Accent4 5 2 2" xfId="6923"/>
    <cellStyle name="Accent4 6 2" xfId="6924"/>
    <cellStyle name="Accent5 2 6" xfId="6925"/>
    <cellStyle name="Accent5 2 2 2" xfId="6926"/>
    <cellStyle name="Accent5 2 3 2" xfId="6927"/>
    <cellStyle name="Accent5 2 4 2" xfId="6928"/>
    <cellStyle name="Accent5 2 5 2" xfId="6929"/>
    <cellStyle name="Accent5 3 4" xfId="6930"/>
    <cellStyle name="Accent5 3 2 2" xfId="6931"/>
    <cellStyle name="Accent5 3 3 2" xfId="6932"/>
    <cellStyle name="Accent5 4 2" xfId="6933"/>
    <cellStyle name="Accent5 5 2" xfId="6934"/>
    <cellStyle name="Accent6 2 8" xfId="6935"/>
    <cellStyle name="Accent6 2 2 3" xfId="6936"/>
    <cellStyle name="Accent6 2 2 2 2" xfId="6937"/>
    <cellStyle name="Accent6 2 3 3" xfId="6938"/>
    <cellStyle name="Accent6 2 3 2 2" xfId="6939"/>
    <cellStyle name="Accent6 2 4 3" xfId="6940"/>
    <cellStyle name="Accent6 2 4 2 2" xfId="6941"/>
    <cellStyle name="Accent6 2 5 2" xfId="6942"/>
    <cellStyle name="Accent6 2 6 2" xfId="6943"/>
    <cellStyle name="Accent6 2 7 2" xfId="6944"/>
    <cellStyle name="Accent6 3 4" xfId="6945"/>
    <cellStyle name="Accent6 3 2 3" xfId="6946"/>
    <cellStyle name="Accent6 3 2 2 2" xfId="6947"/>
    <cellStyle name="Accent6 3 3 2" xfId="6948"/>
    <cellStyle name="Accent6 4 3" xfId="6949"/>
    <cellStyle name="Accent6 4 2 2" xfId="6950"/>
    <cellStyle name="Accent6 5 3" xfId="6951"/>
    <cellStyle name="Accent6 5 2 2" xfId="6952"/>
    <cellStyle name="Accent6 6 2" xfId="6953"/>
    <cellStyle name="Bad 2 8" xfId="6954"/>
    <cellStyle name="Bad 2 2 3" xfId="6955"/>
    <cellStyle name="Bad 2 2 2 2" xfId="6956"/>
    <cellStyle name="Bad 2 3 3" xfId="6957"/>
    <cellStyle name="Bad 2 3 2 2" xfId="6958"/>
    <cellStyle name="Bad 2 4 3" xfId="6959"/>
    <cellStyle name="Bad 2 4 2 2" xfId="6960"/>
    <cellStyle name="Bad 2 5 2" xfId="6961"/>
    <cellStyle name="Bad 2 6 2" xfId="6962"/>
    <cellStyle name="Bad 2 7 2" xfId="6963"/>
    <cellStyle name="Bad 3 4" xfId="6964"/>
    <cellStyle name="Bad 3 2 3" xfId="6965"/>
    <cellStyle name="Bad 3 2 2 2" xfId="6966"/>
    <cellStyle name="Bad 3 3 2" xfId="6967"/>
    <cellStyle name="Bad 4 3" xfId="6968"/>
    <cellStyle name="Bad 4 2 2" xfId="6969"/>
    <cellStyle name="Bad 5 3" xfId="6970"/>
    <cellStyle name="Bad 5 2 2" xfId="6971"/>
    <cellStyle name="Bad 6 2" xfId="6972"/>
    <cellStyle name="Calculation 2 8" xfId="6973"/>
    <cellStyle name="Calculation 2 2 3" xfId="6974"/>
    <cellStyle name="Calculation 2 2 2 2" xfId="6975"/>
    <cellStyle name="Calculation 2 3 3" xfId="6976"/>
    <cellStyle name="Calculation 2 3 2 2" xfId="6977"/>
    <cellStyle name="Calculation 2 4 3" xfId="6978"/>
    <cellStyle name="Calculation 2 4 2 2" xfId="6979"/>
    <cellStyle name="Calculation 2 5 2" xfId="6980"/>
    <cellStyle name="Calculation 2 6 2" xfId="6981"/>
    <cellStyle name="Calculation 2 7 2" xfId="6982"/>
    <cellStyle name="Calculation 3 4" xfId="6983"/>
    <cellStyle name="Calculation 3 2 3" xfId="6984"/>
    <cellStyle name="Calculation 3 2 2 2" xfId="6985"/>
    <cellStyle name="Calculation 3 3 2" xfId="6986"/>
    <cellStyle name="Calculation 4 3" xfId="6987"/>
    <cellStyle name="Calculation 4 2 2" xfId="6988"/>
    <cellStyle name="Calculation 5 3" xfId="6989"/>
    <cellStyle name="Calculation 5 2 2" xfId="6990"/>
    <cellStyle name="Calculation 6 2" xfId="6991"/>
    <cellStyle name="Check Cell 2 6" xfId="6992"/>
    <cellStyle name="Check Cell 2 2 2" xfId="6993"/>
    <cellStyle name="Check Cell 2 3 2" xfId="6994"/>
    <cellStyle name="Check Cell 2 4 2" xfId="6995"/>
    <cellStyle name="Check Cell 2 5 2" xfId="6996"/>
    <cellStyle name="Check Cell 3 4" xfId="6997"/>
    <cellStyle name="Check Cell 3 2 2" xfId="6998"/>
    <cellStyle name="Check Cell 3 3 2" xfId="6999"/>
    <cellStyle name="Check Cell 4 2" xfId="7000"/>
    <cellStyle name="Check Cell 5 2" xfId="7001"/>
    <cellStyle name="Explanatory Text 2 6" xfId="7002"/>
    <cellStyle name="Explanatory Text 2 2 2" xfId="7003"/>
    <cellStyle name="Explanatory Text 2 3 2" xfId="7004"/>
    <cellStyle name="Explanatory Text 2 4 2" xfId="7005"/>
    <cellStyle name="Explanatory Text 2 5 2" xfId="7006"/>
    <cellStyle name="Explanatory Text 3 4" xfId="7007"/>
    <cellStyle name="Explanatory Text 3 2 2" xfId="7008"/>
    <cellStyle name="Explanatory Text 3 3 2" xfId="7009"/>
    <cellStyle name="Explanatory Text 4 2" xfId="7010"/>
    <cellStyle name="Explanatory Text 5 2" xfId="7011"/>
    <cellStyle name="Good 2 8" xfId="7012"/>
    <cellStyle name="Good 2 2 3" xfId="7013"/>
    <cellStyle name="Good 2 2 2 2" xfId="7014"/>
    <cellStyle name="Good 2 3 3" xfId="7015"/>
    <cellStyle name="Good 2 3 2 2" xfId="7016"/>
    <cellStyle name="Good 2 4 3" xfId="7017"/>
    <cellStyle name="Good 2 4 2 2" xfId="7018"/>
    <cellStyle name="Good 2 5 2" xfId="7019"/>
    <cellStyle name="Good 2 6 2" xfId="7020"/>
    <cellStyle name="Good 2 7 2" xfId="7021"/>
    <cellStyle name="Good 3 4" xfId="7022"/>
    <cellStyle name="Good 3 2 3" xfId="7023"/>
    <cellStyle name="Good 3 2 2 2" xfId="7024"/>
    <cellStyle name="Good 3 3 2" xfId="7025"/>
    <cellStyle name="Good 4 3" xfId="7026"/>
    <cellStyle name="Good 4 2 2" xfId="7027"/>
    <cellStyle name="Good 5 3" xfId="7028"/>
    <cellStyle name="Good 5 2 2" xfId="7029"/>
    <cellStyle name="Good 6 2" xfId="7030"/>
    <cellStyle name="Heading 1 2 2 5 3" xfId="7031"/>
    <cellStyle name="Heading 1 2 3 2 3" xfId="7032"/>
    <cellStyle name="Heading 1 2 6 3" xfId="7033"/>
    <cellStyle name="Heading 1 2 9 2" xfId="7034"/>
    <cellStyle name="Heading 1 3 6 3" xfId="7035"/>
    <cellStyle name="Heading 1 4 3" xfId="7036"/>
    <cellStyle name="Heading 1 5 3" xfId="7037"/>
    <cellStyle name="Heading 1 6 2" xfId="7038"/>
    <cellStyle name="Heading 2 2 2 5 3" xfId="7039"/>
    <cellStyle name="Heading 2 2 3 2 3" xfId="7040"/>
    <cellStyle name="Heading 2 2 6 3" xfId="7041"/>
    <cellStyle name="Heading 2 2 9 2" xfId="7042"/>
    <cellStyle name="Heading 2 3 6 3" xfId="7043"/>
    <cellStyle name="Heading 2 4 3" xfId="7044"/>
    <cellStyle name="Heading 2 5 3" xfId="7045"/>
    <cellStyle name="Heading 2 6 2" xfId="7046"/>
    <cellStyle name="Heading 3 2 2 5 3" xfId="7047"/>
    <cellStyle name="Heading 3 2 3 2 3" xfId="7048"/>
    <cellStyle name="Heading 3 2 6 3" xfId="7049"/>
    <cellStyle name="Heading 3 2 9 2" xfId="7050"/>
    <cellStyle name="Heading 3 3 6 3" xfId="7051"/>
    <cellStyle name="Heading 3 4 3" xfId="7052"/>
    <cellStyle name="Heading 3 5 3" xfId="7053"/>
    <cellStyle name="Heading 3 6 2" xfId="7054"/>
    <cellStyle name="Heading 4 2 2 5 3" xfId="7055"/>
    <cellStyle name="Heading 4 2 3 2 3" xfId="7056"/>
    <cellStyle name="Heading 4 2 6 3" xfId="7057"/>
    <cellStyle name="Heading 4 2 9 2" xfId="7058"/>
    <cellStyle name="Heading 4 3 6 3" xfId="7059"/>
    <cellStyle name="Heading 4 4 3" xfId="7060"/>
    <cellStyle name="Heading 4 5 3" xfId="7061"/>
    <cellStyle name="Heading 4 6 2" xfId="7062"/>
    <cellStyle name="Input 2 8" xfId="7063"/>
    <cellStyle name="Input 2 2 3" xfId="7064"/>
    <cellStyle name="Input 2 2 2 2" xfId="7065"/>
    <cellStyle name="Input 2 3 3" xfId="7066"/>
    <cellStyle name="Input 2 3 2 2" xfId="7067"/>
    <cellStyle name="Input 2 4 3" xfId="7068"/>
    <cellStyle name="Input 2 4 2 2" xfId="7069"/>
    <cellStyle name="Input 2 5 2" xfId="7070"/>
    <cellStyle name="Input 2 6 2" xfId="7071"/>
    <cellStyle name="Input 2 7 2" xfId="7072"/>
    <cellStyle name="Input 3 4" xfId="7073"/>
    <cellStyle name="Input 3 2 3" xfId="7074"/>
    <cellStyle name="Input 3 2 2 2" xfId="7075"/>
    <cellStyle name="Input 3 3 2" xfId="7076"/>
    <cellStyle name="Input 4 3" xfId="7077"/>
    <cellStyle name="Input 4 2 2" xfId="7078"/>
    <cellStyle name="Input 5 3" xfId="7079"/>
    <cellStyle name="Input 5 2 2" xfId="7080"/>
    <cellStyle name="Input 6 2" xfId="7081"/>
    <cellStyle name="Linked Cell 2 2 5 3" xfId="7082"/>
    <cellStyle name="Linked Cell 2 3 2 3" xfId="7083"/>
    <cellStyle name="Linked Cell 2 6 3" xfId="7084"/>
    <cellStyle name="Linked Cell 2 9 2" xfId="7085"/>
    <cellStyle name="Linked Cell 3 6 3" xfId="7086"/>
    <cellStyle name="Linked Cell 4 3" xfId="7087"/>
    <cellStyle name="Linked Cell 5 3" xfId="7088"/>
    <cellStyle name="Linked Cell 6 2" xfId="7089"/>
    <cellStyle name="Neutral 2 8" xfId="7090"/>
    <cellStyle name="Neutral 2 2 3" xfId="7091"/>
    <cellStyle name="Neutral 2 2 2 2" xfId="7092"/>
    <cellStyle name="Neutral 2 3 3" xfId="7093"/>
    <cellStyle name="Neutral 2 3 2 2" xfId="7094"/>
    <cellStyle name="Neutral 2 4 3" xfId="7095"/>
    <cellStyle name="Neutral 2 4 2 2" xfId="7096"/>
    <cellStyle name="Neutral 2 5 2" xfId="7097"/>
    <cellStyle name="Neutral 2 6 2" xfId="7098"/>
    <cellStyle name="Neutral 2 7 2" xfId="7099"/>
    <cellStyle name="Neutral 3 4" xfId="7100"/>
    <cellStyle name="Neutral 3 2 3" xfId="7101"/>
    <cellStyle name="Neutral 3 2 2 2" xfId="7102"/>
    <cellStyle name="Neutral 3 3 2" xfId="7103"/>
    <cellStyle name="Neutral 4 3" xfId="7104"/>
    <cellStyle name="Neutral 4 2 2" xfId="7105"/>
    <cellStyle name="Neutral 5 3" xfId="7106"/>
    <cellStyle name="Neutral 5 2 2" xfId="7107"/>
    <cellStyle name="Neutral 6 2" xfId="7108"/>
    <cellStyle name="Normal 10 2 2" xfId="7109"/>
    <cellStyle name="Normal 10 3 3" xfId="7110"/>
    <cellStyle name="Normal 10 3 2" xfId="7111"/>
    <cellStyle name="Normal 10 4 2" xfId="7112"/>
    <cellStyle name="Normal 11 3 2" xfId="7113"/>
    <cellStyle name="Normal 13 3" xfId="7114"/>
    <cellStyle name="Normal 14" xfId="7115"/>
    <cellStyle name="Normal 2 10 2" xfId="7116"/>
    <cellStyle name="Normal 2 11" xfId="7117"/>
    <cellStyle name="Normal 2 12" xfId="7118"/>
    <cellStyle name="Normal 2 2 11" xfId="7119"/>
    <cellStyle name="Normal 2 2 12" xfId="7120"/>
    <cellStyle name="Normal 2 2 2 10" xfId="7121"/>
    <cellStyle name="Normal 2 2 2 2 2 2 2" xfId="7122"/>
    <cellStyle name="Normal 2 2 2 2 2 3" xfId="7123"/>
    <cellStyle name="Normal 2 2 2 2 4 2 2" xfId="7124"/>
    <cellStyle name="Normal 2 2 2 2 4 3" xfId="7125"/>
    <cellStyle name="Normal 2 2 2 2 7" xfId="7126"/>
    <cellStyle name="Normal 2 2 2 2 8" xfId="7127"/>
    <cellStyle name="Normal 2 2 2 2 9" xfId="7128"/>
    <cellStyle name="Normal 2 2 2 3 2 2 2" xfId="7129"/>
    <cellStyle name="Normal 2 2 2 3 2 3" xfId="7130"/>
    <cellStyle name="Normal 2 2 2 3 4 2 2" xfId="7131"/>
    <cellStyle name="Normal 2 2 2 3 4 3" xfId="7132"/>
    <cellStyle name="Normal 2 2 2 3 7" xfId="7133"/>
    <cellStyle name="Normal 2 2 2 3 8" xfId="7134"/>
    <cellStyle name="Normal 2 2 2 3 9" xfId="7135"/>
    <cellStyle name="Normal 2 2 2 4 2 2 2" xfId="7136"/>
    <cellStyle name="Normal 2 2 2 4 2 3" xfId="7137"/>
    <cellStyle name="Normal 2 2 2 4 4 2 2" xfId="7138"/>
    <cellStyle name="Normal 2 2 2 4 4 3" xfId="7139"/>
    <cellStyle name="Normal 2 2 2 4 7" xfId="7140"/>
    <cellStyle name="Normal 2 2 2 4 8" xfId="7141"/>
    <cellStyle name="Normal 2 2 2 4 9" xfId="7142"/>
    <cellStyle name="Normal 2 2 2 5 2 2" xfId="7143"/>
    <cellStyle name="Normal 2 2 2 5 3" xfId="7144"/>
    <cellStyle name="Normal 2 2 2 6 2 2" xfId="7145"/>
    <cellStyle name="Normal 2 2 2 6 3" xfId="7146"/>
    <cellStyle name="Normal 2 2 2 7 2 2" xfId="7147"/>
    <cellStyle name="Normal 2 2 2 7 3" xfId="7148"/>
    <cellStyle name="Normal 2 2 2 9" xfId="7149"/>
    <cellStyle name="Normal 2 2 3 10" xfId="7150"/>
    <cellStyle name="Normal 2 2 3 2 2 2 2" xfId="7151"/>
    <cellStyle name="Normal 2 2 3 2 2 3" xfId="7152"/>
    <cellStyle name="Normal 2 2 3 2 4 2 2" xfId="7153"/>
    <cellStyle name="Normal 2 2 3 2 4 3" xfId="7154"/>
    <cellStyle name="Normal 2 2 3 2 7" xfId="7155"/>
    <cellStyle name="Normal 2 2 3 2 8" xfId="7156"/>
    <cellStyle name="Normal 2 2 3 2 9" xfId="7157"/>
    <cellStyle name="Normal 2 2 3 3 2 2 2" xfId="7158"/>
    <cellStyle name="Normal 2 2 3 3 2 3" xfId="7159"/>
    <cellStyle name="Normal 2 2 3 3 4 2 2" xfId="7160"/>
    <cellStyle name="Normal 2 2 3 3 4 3" xfId="7161"/>
    <cellStyle name="Normal 2 2 3 3 7" xfId="7162"/>
    <cellStyle name="Normal 2 2 3 3 8" xfId="7163"/>
    <cellStyle name="Normal 2 2 3 3 9" xfId="7164"/>
    <cellStyle name="Normal 2 2 3 4 2 2 2" xfId="7165"/>
    <cellStyle name="Normal 2 2 3 4 2 3" xfId="7166"/>
    <cellStyle name="Normal 2 2 3 4 4 2 2" xfId="7167"/>
    <cellStyle name="Normal 2 2 3 4 4 3" xfId="7168"/>
    <cellStyle name="Normal 2 2 3 4 7" xfId="7169"/>
    <cellStyle name="Normal 2 2 3 4 8" xfId="7170"/>
    <cellStyle name="Normal 2 2 3 4 9" xfId="7171"/>
    <cellStyle name="Normal 2 2 3 5 2 2" xfId="7172"/>
    <cellStyle name="Normal 2 2 3 5 3" xfId="7173"/>
    <cellStyle name="Normal 2 2 3 6 2 2" xfId="7174"/>
    <cellStyle name="Normal 2 2 3 6 3" xfId="7175"/>
    <cellStyle name="Normal 2 2 3 7 2 2" xfId="7176"/>
    <cellStyle name="Normal 2 2 3 7 3" xfId="7177"/>
    <cellStyle name="Normal 2 2 3 9" xfId="7178"/>
    <cellStyle name="Normal 2 2 4 2 2 2" xfId="7179"/>
    <cellStyle name="Normal 2 2 4 2 3" xfId="7180"/>
    <cellStyle name="Normal 2 2 4 4 2 2" xfId="7181"/>
    <cellStyle name="Normal 2 2 4 4 3" xfId="7182"/>
    <cellStyle name="Normal 2 2 4 7" xfId="7183"/>
    <cellStyle name="Normal 2 2 4 8" xfId="7184"/>
    <cellStyle name="Normal 2 2 4 9" xfId="7185"/>
    <cellStyle name="Normal 2 2 5 2 2 2" xfId="7186"/>
    <cellStyle name="Normal 2 2 5 2 3" xfId="7187"/>
    <cellStyle name="Normal 2 2 5 4 2 2" xfId="7188"/>
    <cellStyle name="Normal 2 2 5 4 3" xfId="7189"/>
    <cellStyle name="Normal 2 2 5 7" xfId="7190"/>
    <cellStyle name="Normal 2 2 5 8" xfId="7191"/>
    <cellStyle name="Normal 2 2 5 9" xfId="7192"/>
    <cellStyle name="Normal 2 2 6 2 2 2" xfId="7193"/>
    <cellStyle name="Normal 2 2 6 2 3" xfId="7194"/>
    <cellStyle name="Normal 2 2 6 4 2 2" xfId="7195"/>
    <cellStyle name="Normal 2 2 6 4 3" xfId="7196"/>
    <cellStyle name="Normal 2 2 6 7" xfId="7197"/>
    <cellStyle name="Normal 2 2 6 8" xfId="7198"/>
    <cellStyle name="Normal 2 2 6 9" xfId="7199"/>
    <cellStyle name="Normal 2 2 7 2 2" xfId="7200"/>
    <cellStyle name="Normal 2 2 7 3" xfId="7201"/>
    <cellStyle name="Normal 2 2 8 2 2" xfId="7202"/>
    <cellStyle name="Normal 2 2 8 3" xfId="7203"/>
    <cellStyle name="Normal 2 2 9 2 2" xfId="7204"/>
    <cellStyle name="Normal 2 2 9 3" xfId="7205"/>
    <cellStyle name="Normal 2 3 10" xfId="7206"/>
    <cellStyle name="Normal 2 3 2 2 2 2" xfId="7207"/>
    <cellStyle name="Normal 2 3 2 2 3" xfId="7208"/>
    <cellStyle name="Normal 2 3 2 4 2 2" xfId="7209"/>
    <cellStyle name="Normal 2 3 2 4 3" xfId="7210"/>
    <cellStyle name="Normal 2 3 2 7" xfId="7211"/>
    <cellStyle name="Normal 2 3 2 8" xfId="7212"/>
    <cellStyle name="Normal 2 3 2 9" xfId="7213"/>
    <cellStyle name="Normal 2 3 3 2 2 2" xfId="7214"/>
    <cellStyle name="Normal 2 3 3 2 3" xfId="7215"/>
    <cellStyle name="Normal 2 3 3 4 2 2" xfId="7216"/>
    <cellStyle name="Normal 2 3 3 4 3" xfId="7217"/>
    <cellStyle name="Normal 2 3 3 7" xfId="7218"/>
    <cellStyle name="Normal 2 3 3 8" xfId="7219"/>
    <cellStyle name="Normal 2 3 3 9" xfId="7220"/>
    <cellStyle name="Normal 2 3 4 2 2 2" xfId="7221"/>
    <cellStyle name="Normal 2 3 4 2 3" xfId="7222"/>
    <cellStyle name="Normal 2 3 4 4 2 2" xfId="7223"/>
    <cellStyle name="Normal 2 3 4 4 3" xfId="7224"/>
    <cellStyle name="Normal 2 3 4 7" xfId="7225"/>
    <cellStyle name="Normal 2 3 4 8" xfId="7226"/>
    <cellStyle name="Normal 2 3 4 9" xfId="7227"/>
    <cellStyle name="Normal 2 3 5 2 2" xfId="7228"/>
    <cellStyle name="Normal 2 3 5 3" xfId="7229"/>
    <cellStyle name="Normal 2 3 6 2 2" xfId="7230"/>
    <cellStyle name="Normal 2 3 6 3" xfId="7231"/>
    <cellStyle name="Normal 2 3 7 2 2" xfId="7232"/>
    <cellStyle name="Normal 2 3 7 3" xfId="7233"/>
    <cellStyle name="Normal 2 3 9" xfId="7234"/>
    <cellStyle name="Normal 2 4 10" xfId="7235"/>
    <cellStyle name="Normal 2 4 2 2 2 2" xfId="7236"/>
    <cellStyle name="Normal 2 4 2 2 3" xfId="7237"/>
    <cellStyle name="Normal 2 4 2 4 2 2" xfId="7238"/>
    <cellStyle name="Normal 2 4 2 4 3" xfId="7239"/>
    <cellStyle name="Normal 2 4 2 7" xfId="7240"/>
    <cellStyle name="Normal 2 4 2 8" xfId="7241"/>
    <cellStyle name="Normal 2 4 2 9" xfId="7242"/>
    <cellStyle name="Normal 2 4 3 2 2 2" xfId="7243"/>
    <cellStyle name="Normal 2 4 3 2 3" xfId="7244"/>
    <cellStyle name="Normal 2 4 3 4 2 2" xfId="7245"/>
    <cellStyle name="Normal 2 4 3 4 3" xfId="7246"/>
    <cellStyle name="Normal 2 4 3 7" xfId="7247"/>
    <cellStyle name="Normal 2 4 3 8" xfId="7248"/>
    <cellStyle name="Normal 2 4 3 9" xfId="7249"/>
    <cellStyle name="Normal 2 4 4 2 2 2" xfId="7250"/>
    <cellStyle name="Normal 2 4 4 2 3" xfId="7251"/>
    <cellStyle name="Normal 2 4 4 4 2 2" xfId="7252"/>
    <cellStyle name="Normal 2 4 4 4 3" xfId="7253"/>
    <cellStyle name="Normal 2 4 4 7" xfId="7254"/>
    <cellStyle name="Normal 2 4 4 8" xfId="7255"/>
    <cellStyle name="Normal 2 4 4 9" xfId="7256"/>
    <cellStyle name="Normal 2 4 5 2 2" xfId="7257"/>
    <cellStyle name="Normal 2 4 5 3" xfId="7258"/>
    <cellStyle name="Normal 2 4 6 2 2" xfId="7259"/>
    <cellStyle name="Normal 2 4 6 3" xfId="7260"/>
    <cellStyle name="Normal 2 4 7 2 2" xfId="7261"/>
    <cellStyle name="Normal 2 4 7 3" xfId="7262"/>
    <cellStyle name="Normal 2 4 9" xfId="7263"/>
    <cellStyle name="Normal 2 5 2 2 2 2" xfId="7264"/>
    <cellStyle name="Normal 2 5 2 2 3" xfId="7265"/>
    <cellStyle name="Normal 2 5 2 3 2 2 2" xfId="7266"/>
    <cellStyle name="Normal 2 5 2 4 2 2" xfId="7267"/>
    <cellStyle name="Normal 2 5 2 4 3" xfId="7268"/>
    <cellStyle name="Normal 2 5 2 7" xfId="7269"/>
    <cellStyle name="Normal 2 5 2 8" xfId="7270"/>
    <cellStyle name="Normal 2 5 2 9" xfId="7271"/>
    <cellStyle name="Normal 2 5 3 2 2" xfId="7272"/>
    <cellStyle name="Normal 2 5 3 3" xfId="7273"/>
    <cellStyle name="Normal 2 5 4 2 2" xfId="7274"/>
    <cellStyle name="Normal 2 5 4 3" xfId="7275"/>
    <cellStyle name="Normal 2 5 5 2 2" xfId="7276"/>
    <cellStyle name="Normal 2 5 5 3" xfId="7277"/>
    <cellStyle name="Normal 2 5 6 2" xfId="7278"/>
    <cellStyle name="Normal 2 5 7" xfId="7279"/>
    <cellStyle name="Normal 2 5 8" xfId="7280"/>
    <cellStyle name="Normal 2 5 9" xfId="7281"/>
    <cellStyle name="Normal 2 6 10" xfId="7282"/>
    <cellStyle name="Normal 2 6 2 2 2" xfId="7283"/>
    <cellStyle name="Normal 2 6 2 3" xfId="7284"/>
    <cellStyle name="Normal 2 6 4 2 2" xfId="7285"/>
    <cellStyle name="Normal 2 6 4 3" xfId="7286"/>
    <cellStyle name="Normal 2 6 5 2 2" xfId="7287"/>
    <cellStyle name="Normal 2 6 5 3" xfId="7288"/>
    <cellStyle name="Normal 2 6 7" xfId="7289"/>
    <cellStyle name="Normal 2 6 8" xfId="7290"/>
    <cellStyle name="Normal 2 6 9" xfId="7291"/>
    <cellStyle name="Normal 2 7 2 2 2" xfId="7292"/>
    <cellStyle name="Normal 2 7 2 3" xfId="7293"/>
    <cellStyle name="Normal 2 7 4 2 2" xfId="7294"/>
    <cellStyle name="Normal 2 7 4 3" xfId="7295"/>
    <cellStyle name="Normal 2 7 7" xfId="7296"/>
    <cellStyle name="Normal 2 7 8" xfId="7297"/>
    <cellStyle name="Normal 2 7 9" xfId="7298"/>
    <cellStyle name="Normal 2 9 2" xfId="7299"/>
    <cellStyle name="Normal 3 11" xfId="7300"/>
    <cellStyle name="Normal 3 12" xfId="7301"/>
    <cellStyle name="Normal 3 2 10" xfId="7302"/>
    <cellStyle name="Normal 3 2 11" xfId="7303"/>
    <cellStyle name="Normal 3 2 2 2 2 2" xfId="7304"/>
    <cellStyle name="Normal 3 2 2 2 3" xfId="7305"/>
    <cellStyle name="Normal 3 2 2 3 2 2 2" xfId="7306"/>
    <cellStyle name="Normal 3 2 2 4 2 2" xfId="7307"/>
    <cellStyle name="Normal 3 2 2 4 3" xfId="7308"/>
    <cellStyle name="Normal 3 2 2 7" xfId="7309"/>
    <cellStyle name="Normal 3 2 2 8" xfId="7310"/>
    <cellStyle name="Normal 3 2 2 9" xfId="7311"/>
    <cellStyle name="Normal 3 2 3 2 2 2" xfId="7312"/>
    <cellStyle name="Normal 3 2 3 2 3" xfId="7313"/>
    <cellStyle name="Normal 3 2 3 4 2 2" xfId="7314"/>
    <cellStyle name="Normal 3 2 3 4 3" xfId="7315"/>
    <cellStyle name="Normal 3 2 3 7" xfId="7316"/>
    <cellStyle name="Normal 3 2 3 8" xfId="7317"/>
    <cellStyle name="Normal 3 2 3 9" xfId="7318"/>
    <cellStyle name="Normal 3 2 4 2 2 2" xfId="7319"/>
    <cellStyle name="Normal 3 2 4 2 3" xfId="7320"/>
    <cellStyle name="Normal 3 2 4 4 2 2" xfId="7321"/>
    <cellStyle name="Normal 3 2 4 4 3" xfId="7322"/>
    <cellStyle name="Normal 3 2 4 7" xfId="7323"/>
    <cellStyle name="Normal 3 2 4 8" xfId="7324"/>
    <cellStyle name="Normal 3 2 4 9" xfId="7325"/>
    <cellStyle name="Normal 3 2 5 2 2" xfId="7326"/>
    <cellStyle name="Normal 3 2 5 3" xfId="7327"/>
    <cellStyle name="Normal 3 2 6 2 2" xfId="7328"/>
    <cellStyle name="Normal 3 2 6 3" xfId="7329"/>
    <cellStyle name="Normal 3 2 7 2 2" xfId="7330"/>
    <cellStyle name="Normal 3 2 7 3" xfId="7331"/>
    <cellStyle name="Normal 3 2 8 2" xfId="7332"/>
    <cellStyle name="Normal 3 2 9" xfId="7333"/>
    <cellStyle name="Normal 3 3 10" xfId="7334"/>
    <cellStyle name="Normal 3 3 2 2 2 2" xfId="7335"/>
    <cellStyle name="Normal 3 3 2 2 3" xfId="7336"/>
    <cellStyle name="Normal 3 3 2 4 2 2" xfId="7337"/>
    <cellStyle name="Normal 3 3 2 4 3" xfId="7338"/>
    <cellStyle name="Normal 3 3 2 7" xfId="7339"/>
    <cellStyle name="Normal 3 3 2 8" xfId="7340"/>
    <cellStyle name="Normal 3 3 2 9" xfId="7341"/>
    <cellStyle name="Normal 3 3 3 2 2 2" xfId="7342"/>
    <cellStyle name="Normal 3 3 3 2 3" xfId="7343"/>
    <cellStyle name="Normal 3 3 3 4 2 2" xfId="7344"/>
    <cellStyle name="Normal 3 3 3 4 3" xfId="7345"/>
    <cellStyle name="Normal 3 3 3 7" xfId="7346"/>
    <cellStyle name="Normal 3 3 3 8" xfId="7347"/>
    <cellStyle name="Normal 3 3 3 9" xfId="7348"/>
    <cellStyle name="Normal 3 3 4 2 2 2" xfId="7349"/>
    <cellStyle name="Normal 3 3 4 2 3" xfId="7350"/>
    <cellStyle name="Normal 3 3 4 4 2 2" xfId="7351"/>
    <cellStyle name="Normal 3 3 4 4 3" xfId="7352"/>
    <cellStyle name="Normal 3 3 4 7" xfId="7353"/>
    <cellStyle name="Normal 3 3 4 8" xfId="7354"/>
    <cellStyle name="Normal 3 3 4 9" xfId="7355"/>
    <cellStyle name="Normal 3 3 5 2 2" xfId="7356"/>
    <cellStyle name="Normal 3 3 5 3" xfId="7357"/>
    <cellStyle name="Normal 3 3 6 2 2" xfId="7358"/>
    <cellStyle name="Normal 3 3 6 3" xfId="7359"/>
    <cellStyle name="Normal 3 3 7 2 2" xfId="7360"/>
    <cellStyle name="Normal 3 3 7 3" xfId="7361"/>
    <cellStyle name="Normal 3 3 9" xfId="7362"/>
    <cellStyle name="Normal 3 4 2 2 2" xfId="7363"/>
    <cellStyle name="Normal 3 4 2 3" xfId="7364"/>
    <cellStyle name="Normal 3 4 4 2 2" xfId="7365"/>
    <cellStyle name="Normal 3 4 4 3" xfId="7366"/>
    <cellStyle name="Normal 3 4 7" xfId="7367"/>
    <cellStyle name="Normal 3 4 8" xfId="7368"/>
    <cellStyle name="Normal 3 4 9" xfId="7369"/>
    <cellStyle name="Normal 3 5 2 2 2" xfId="7370"/>
    <cellStyle name="Normal 3 5 2 3" xfId="7371"/>
    <cellStyle name="Normal 3 5 4 2 2" xfId="7372"/>
    <cellStyle name="Normal 3 5 4 3" xfId="7373"/>
    <cellStyle name="Normal 3 5 7" xfId="7374"/>
    <cellStyle name="Normal 3 5 8" xfId="7375"/>
    <cellStyle name="Normal 3 5 9" xfId="7376"/>
    <cellStyle name="Normal 3 6 2 2 2" xfId="7377"/>
    <cellStyle name="Normal 3 6 2 3" xfId="7378"/>
    <cellStyle name="Normal 3 6 4 2 2" xfId="7379"/>
    <cellStyle name="Normal 3 6 4 3" xfId="7380"/>
    <cellStyle name="Normal 3 6 7" xfId="7381"/>
    <cellStyle name="Normal 3 6 8" xfId="7382"/>
    <cellStyle name="Normal 3 6 9" xfId="7383"/>
    <cellStyle name="Normal 3 7 2 2" xfId="7384"/>
    <cellStyle name="Normal 3 7 3" xfId="7385"/>
    <cellStyle name="Normal 3 8 2 2" xfId="7386"/>
    <cellStyle name="Normal 3 8 3" xfId="7387"/>
    <cellStyle name="Normal 3 9 2 2" xfId="7388"/>
    <cellStyle name="Normal 3 9 3" xfId="7389"/>
    <cellStyle name="Normal 4 2 2 2 2" xfId="7390"/>
    <cellStyle name="Normal 4 2 2 3" xfId="7391"/>
    <cellStyle name="Normal 4 3 2 2 2" xfId="7392"/>
    <cellStyle name="Normal 4 3 2 3 2" xfId="7393"/>
    <cellStyle name="Normal 4 3 3" xfId="7394"/>
    <cellStyle name="Normal 4 3 4" xfId="7395"/>
    <cellStyle name="Normal 4 4 2 2 2" xfId="7396"/>
    <cellStyle name="Normal 4 4 2 3" xfId="7397"/>
    <cellStyle name="Normal 4 4 3" xfId="7398"/>
    <cellStyle name="Normal 4 5 2" xfId="7399"/>
    <cellStyle name="Normal 4 5 3" xfId="7400"/>
    <cellStyle name="Normal 4 6 2 2" xfId="7401"/>
    <cellStyle name="Normal 4 6 3" xfId="7402"/>
    <cellStyle name="Normal 5 10" xfId="7403"/>
    <cellStyle name="Normal 5 11" xfId="7404"/>
    <cellStyle name="Normal 5 2 2 2 2" xfId="7405"/>
    <cellStyle name="Normal 5 2 2 3" xfId="7406"/>
    <cellStyle name="Normal 5 2 3 2 2 2" xfId="7407"/>
    <cellStyle name="Normal 5 2 4 2 2" xfId="7408"/>
    <cellStyle name="Normal 5 2 4 3" xfId="7409"/>
    <cellStyle name="Normal 5 2 7" xfId="7410"/>
    <cellStyle name="Normal 5 2 8" xfId="7411"/>
    <cellStyle name="Normal 5 2 9" xfId="7412"/>
    <cellStyle name="Normal 5 3 2 2 2" xfId="7413"/>
    <cellStyle name="Normal 5 3 2 3" xfId="7414"/>
    <cellStyle name="Normal 5 3 4 2 2" xfId="7415"/>
    <cellStyle name="Normal 5 3 4 3" xfId="7416"/>
    <cellStyle name="Normal 5 3 7" xfId="7417"/>
    <cellStyle name="Normal 5 3 8" xfId="7418"/>
    <cellStyle name="Normal 5 3 9" xfId="7419"/>
    <cellStyle name="Normal 5 4 2 2 2" xfId="7420"/>
    <cellStyle name="Normal 5 4 2 3" xfId="7421"/>
    <cellStyle name="Normal 5 4 4 2 2" xfId="7422"/>
    <cellStyle name="Normal 5 4 4 3" xfId="7423"/>
    <cellStyle name="Normal 5 4 7" xfId="7424"/>
    <cellStyle name="Normal 5 4 8" xfId="7425"/>
    <cellStyle name="Normal 5 4 9" xfId="7426"/>
    <cellStyle name="Normal 5 5 2 2" xfId="7427"/>
    <cellStyle name="Normal 5 5 3" xfId="7428"/>
    <cellStyle name="Normal 5 6 2 2" xfId="7429"/>
    <cellStyle name="Normal 5 6 3" xfId="7430"/>
    <cellStyle name="Normal 5 7 2 2" xfId="7431"/>
    <cellStyle name="Normal 5 7 3" xfId="7432"/>
    <cellStyle name="Normal 5 8 2" xfId="7433"/>
    <cellStyle name="Normal 5 9" xfId="7434"/>
    <cellStyle name="Normal 6 10" xfId="7435"/>
    <cellStyle name="Normal 6 2 2 2 2" xfId="7436"/>
    <cellStyle name="Normal 6 2 2 3" xfId="7437"/>
    <cellStyle name="Normal 6 2 4 2 2" xfId="7438"/>
    <cellStyle name="Normal 6 2 4 3" xfId="7439"/>
    <cellStyle name="Normal 6 2 7" xfId="7440"/>
    <cellStyle name="Normal 6 2 8" xfId="7441"/>
    <cellStyle name="Normal 6 2 9" xfId="7442"/>
    <cellStyle name="Normal 6 3 2 2 2" xfId="7443"/>
    <cellStyle name="Normal 6 3 2 3" xfId="7444"/>
    <cellStyle name="Normal 6 3 4 2 2" xfId="7445"/>
    <cellStyle name="Normal 6 3 4 3" xfId="7446"/>
    <cellStyle name="Normal 6 3 7" xfId="7447"/>
    <cellStyle name="Normal 6 3 8" xfId="7448"/>
    <cellStyle name="Normal 6 3 9" xfId="7449"/>
    <cellStyle name="Normal 6 4 2 2 2" xfId="7450"/>
    <cellStyle name="Normal 6 4 2 3" xfId="7451"/>
    <cellStyle name="Normal 6 4 4 2 2" xfId="7452"/>
    <cellStyle name="Normal 6 4 4 3" xfId="7453"/>
    <cellStyle name="Normal 6 4 7" xfId="7454"/>
    <cellStyle name="Normal 6 4 8" xfId="7455"/>
    <cellStyle name="Normal 6 4 9" xfId="7456"/>
    <cellStyle name="Normal 6 5 2 2" xfId="7457"/>
    <cellStyle name="Normal 6 5 3" xfId="7458"/>
    <cellStyle name="Normal 6 6 2 2" xfId="7459"/>
    <cellStyle name="Normal 6 6 3" xfId="7460"/>
    <cellStyle name="Normal 6 7 2 2" xfId="7461"/>
    <cellStyle name="Normal 6 7 3" xfId="7462"/>
    <cellStyle name="Normal 6 9" xfId="7463"/>
    <cellStyle name="Normal 7 10" xfId="7464"/>
    <cellStyle name="Normal 7 2 2 2 2" xfId="7465"/>
    <cellStyle name="Normal 7 2 2 3" xfId="7466"/>
    <cellStyle name="Normal 7 2 4 2 2" xfId="7467"/>
    <cellStyle name="Normal 7 2 4 3" xfId="7468"/>
    <cellStyle name="Normal 7 2 7" xfId="7469"/>
    <cellStyle name="Normal 7 2 8" xfId="7470"/>
    <cellStyle name="Normal 7 2 9" xfId="7471"/>
    <cellStyle name="Normal 7 3 3 2 2" xfId="7472"/>
    <cellStyle name="Normal 7 3 3 3" xfId="7473"/>
    <cellStyle name="Normal 7 3 4 2" xfId="7474"/>
    <cellStyle name="Normal 7 3 4 2 2" xfId="7475"/>
    <cellStyle name="Normal 7 3 5 2" xfId="7476"/>
    <cellStyle name="Normal 7 3 6" xfId="7477"/>
    <cellStyle name="Normal 7 4 2 2 2" xfId="7478"/>
    <cellStyle name="Normal 7 4 2 3" xfId="7479"/>
    <cellStyle name="Normal 7 4 3 2 2" xfId="7480"/>
    <cellStyle name="Normal 7 4 3 3" xfId="7481"/>
    <cellStyle name="Normal 7 4 4 2 2" xfId="7482"/>
    <cellStyle name="Normal 7 4 4 3" xfId="7483"/>
    <cellStyle name="Normal 7 4 5 2" xfId="7484"/>
    <cellStyle name="Normal 7 4 6" xfId="7485"/>
    <cellStyle name="Normal 7 4 7" xfId="7486"/>
    <cellStyle name="Normal 7 4 8" xfId="7487"/>
    <cellStyle name="Normal 7 5 2 3 2" xfId="7488"/>
    <cellStyle name="Normal 7 5 2 4 2" xfId="7489"/>
    <cellStyle name="Normal 7 5 5" xfId="7490"/>
    <cellStyle name="Normal 7 6 2 2 2" xfId="7491"/>
    <cellStyle name="Normal 7 6 2 3" xfId="7492"/>
    <cellStyle name="Normal 7 6 3 2 3" xfId="7493"/>
    <cellStyle name="Normal 7 6 3 2 2" xfId="7494"/>
    <cellStyle name="Normal 7 6 3 3" xfId="7495"/>
    <cellStyle name="Normal 7 6 3 4" xfId="7496"/>
    <cellStyle name="Normal 7 7 2" xfId="7497"/>
    <cellStyle name="Normal 7 8 2 2" xfId="7498"/>
    <cellStyle name="Normal 7 8 3" xfId="7499"/>
    <cellStyle name="Normal 8 10" xfId="7500"/>
    <cellStyle name="Normal 8 11" xfId="7501"/>
    <cellStyle name="Normal 8 12" xfId="7502"/>
    <cellStyle name="Normal 8 2 2 2 2" xfId="7503"/>
    <cellStyle name="Normal 8 2 2 3" xfId="7504"/>
    <cellStyle name="Normal 8 2 4 2 2" xfId="7505"/>
    <cellStyle name="Normal 8 2 4 3" xfId="7506"/>
    <cellStyle name="Normal 8 2 7" xfId="7507"/>
    <cellStyle name="Normal 8 2 8" xfId="7508"/>
    <cellStyle name="Normal 8 2 9" xfId="7509"/>
    <cellStyle name="Normal 8 3 2 2 2" xfId="7510"/>
    <cellStyle name="Normal 8 3 2 3" xfId="7511"/>
    <cellStyle name="Normal 8 3 3 2 2" xfId="7512"/>
    <cellStyle name="Normal 8 3 3 3" xfId="7513"/>
    <cellStyle name="Normal 8 3 4 2 2" xfId="7514"/>
    <cellStyle name="Normal 8 3 4 3" xfId="7515"/>
    <cellStyle name="Normal 8 3 6" xfId="7516"/>
    <cellStyle name="Normal 8 3 7" xfId="7517"/>
    <cellStyle name="Normal 8 4 2 2 2" xfId="7518"/>
    <cellStyle name="Normal 8 4 2 3" xfId="7519"/>
    <cellStyle name="Normal 8 4 3 2 2" xfId="7520"/>
    <cellStyle name="Normal 8 4 3 3" xfId="7521"/>
    <cellStyle name="Normal 8 4 4 2 2" xfId="7522"/>
    <cellStyle name="Normal 8 4 4 3" xfId="7523"/>
    <cellStyle name="Normal 8 4 6" xfId="7524"/>
    <cellStyle name="Normal 8 4 7" xfId="7525"/>
    <cellStyle name="Normal 8 6 2 2" xfId="7526"/>
    <cellStyle name="Normal 8 6 3" xfId="7527"/>
    <cellStyle name="Normal 8 7 2 2" xfId="7528"/>
    <cellStyle name="Normal 8 7 3" xfId="7529"/>
    <cellStyle name="Normal 9 10" xfId="7530"/>
    <cellStyle name="Normal 9 11" xfId="7531"/>
    <cellStyle name="Normal 9 2 2 2 2" xfId="7532"/>
    <cellStyle name="Normal 9 2 2 3" xfId="7533"/>
    <cellStyle name="Normal 9 2 4 2 2" xfId="7534"/>
    <cellStyle name="Normal 9 2 4 3" xfId="7535"/>
    <cellStyle name="Normal 9 2 7" xfId="7536"/>
    <cellStyle name="Normal 9 2 8" xfId="7537"/>
    <cellStyle name="Normal 9 2 9" xfId="7538"/>
    <cellStyle name="Normal 9 3 2 2" xfId="7539"/>
    <cellStyle name="Normal 9 3 3" xfId="7540"/>
    <cellStyle name="Normal 9 5 2 2" xfId="7541"/>
    <cellStyle name="Normal 9 5 3" xfId="7542"/>
    <cellStyle name="Normal 9 6 2 2" xfId="7543"/>
    <cellStyle name="Normal 9 6 3" xfId="7544"/>
    <cellStyle name="Normal 9 8" xfId="7545"/>
    <cellStyle name="Normal 9 9" xfId="7546"/>
    <cellStyle name="Note 2 10 2" xfId="7547"/>
    <cellStyle name="Note 2 2 2 2 3" xfId="7548"/>
    <cellStyle name="Note 2 2 3 2 2 2" xfId="7549"/>
    <cellStyle name="Note 2 2 3 3 2 2" xfId="7550"/>
    <cellStyle name="Note 2 2 4 2 2" xfId="7551"/>
    <cellStyle name="Note 2 2 5 2 2" xfId="7552"/>
    <cellStyle name="Note 2 2 5 3" xfId="7553"/>
    <cellStyle name="Note 2 2 6 3" xfId="7554"/>
    <cellStyle name="Note 2 2 6 2" xfId="7555"/>
    <cellStyle name="Note 2 2 8 3" xfId="7556"/>
    <cellStyle name="Note 2 3 2 3" xfId="7557"/>
    <cellStyle name="Note 2 4 2 2 2" xfId="7558"/>
    <cellStyle name="Note 2 4 2 3" xfId="7559"/>
    <cellStyle name="Note 2 4 3 2 2" xfId="7560"/>
    <cellStyle name="Note 2 5 2 2" xfId="7561"/>
    <cellStyle name="Note 2 6 2 2" xfId="7562"/>
    <cellStyle name="Note 2 6 3" xfId="7563"/>
    <cellStyle name="Note 2 6 4" xfId="7564"/>
    <cellStyle name="Note 2 7 3" xfId="7565"/>
    <cellStyle name="Note 2 7 2" xfId="7566"/>
    <cellStyle name="Note 2 8 2" xfId="7567"/>
    <cellStyle name="Note 2 9 2 2" xfId="7568"/>
    <cellStyle name="Note 3 2 2 2 2" xfId="7569"/>
    <cellStyle name="Note 3 2 2 3 2" xfId="7570"/>
    <cellStyle name="Note 3 2 4 3 2" xfId="7571"/>
    <cellStyle name="Note 3 2 5 2 2" xfId="7572"/>
    <cellStyle name="Note 3 2 5 3" xfId="7573"/>
    <cellStyle name="Note 3 2 6 2" xfId="7574"/>
    <cellStyle name="Note 3 2 8 3" xfId="7575"/>
    <cellStyle name="Note 3 3 2 3" xfId="7576"/>
    <cellStyle name="Note 3 4 2 2 2" xfId="7577"/>
    <cellStyle name="Note 3 4 3 2 2" xfId="7578"/>
    <cellStyle name="Note 3 5 2 2" xfId="7579"/>
    <cellStyle name="Note 3 6 2 2" xfId="7580"/>
    <cellStyle name="Note 3 6 3" xfId="7581"/>
    <cellStyle name="Note 3 7 3" xfId="7582"/>
    <cellStyle name="Note 3 7 2" xfId="7583"/>
    <cellStyle name="Note 3 9 3" xfId="7584"/>
    <cellStyle name="Note 4 2 2 2 5" xfId="7585"/>
    <cellStyle name="Note 4 2 2 4 2" xfId="7586"/>
    <cellStyle name="Note 4 2 2 5 3" xfId="7587"/>
    <cellStyle name="Note 4 2 3 2 2 2" xfId="7588"/>
    <cellStyle name="Note 4 2 3 3 2 2" xfId="7589"/>
    <cellStyle name="Note 4 2 4 2 4" xfId="7590"/>
    <cellStyle name="Note 4 2 4 4 2" xfId="7591"/>
    <cellStyle name="Note 4 2 4 5 3" xfId="7592"/>
    <cellStyle name="Note 4 2 5 2 2" xfId="7593"/>
    <cellStyle name="Note 4 2 5 3" xfId="7594"/>
    <cellStyle name="Note 4 2 6 3" xfId="7595"/>
    <cellStyle name="Note 4 2 6 2" xfId="7596"/>
    <cellStyle name="Note 4 2 8 3" xfId="7597"/>
    <cellStyle name="Note 4 3 2 2" xfId="7598"/>
    <cellStyle name="Note 4 4 2 2 4" xfId="7599"/>
    <cellStyle name="Note 4 4 2 5" xfId="7600"/>
    <cellStyle name="Note 4 4 3 2 2" xfId="7601"/>
    <cellStyle name="Note 4 4 4 2" xfId="7602"/>
    <cellStyle name="Note 4 4 5 3" xfId="7603"/>
    <cellStyle name="Note 4 5 2 4" xfId="7604"/>
    <cellStyle name="Note 4 5 4 2" xfId="7605"/>
    <cellStyle name="Note 4 5 5 3" xfId="7606"/>
    <cellStyle name="Note 4 6 2 2" xfId="7607"/>
    <cellStyle name="Note 4 6 3" xfId="7608"/>
    <cellStyle name="Note 4 7 3" xfId="7609"/>
    <cellStyle name="Note 4 7 2" xfId="7610"/>
    <cellStyle name="Note 4 9 3" xfId="7611"/>
    <cellStyle name="Output 2 8" xfId="7612"/>
    <cellStyle name="Output 2 2 3" xfId="7613"/>
    <cellStyle name="Output 2 2 2 2" xfId="7614"/>
    <cellStyle name="Output 2 3 3" xfId="7615"/>
    <cellStyle name="Output 2 3 2 2" xfId="7616"/>
    <cellStyle name="Output 2 4 3" xfId="7617"/>
    <cellStyle name="Output 2 4 2 2" xfId="7618"/>
    <cellStyle name="Output 2 5 2" xfId="7619"/>
    <cellStyle name="Output 2 6 2" xfId="7620"/>
    <cellStyle name="Output 2 7 2" xfId="7621"/>
    <cellStyle name="Output 3 4" xfId="7622"/>
    <cellStyle name="Output 3 2 3" xfId="7623"/>
    <cellStyle name="Output 3 2 2 2" xfId="7624"/>
    <cellStyle name="Output 3 3 2" xfId="7625"/>
    <cellStyle name="Output 4 3" xfId="7626"/>
    <cellStyle name="Output 4 2 2" xfId="7627"/>
    <cellStyle name="Output 5 3" xfId="7628"/>
    <cellStyle name="Output 5 2 2" xfId="7629"/>
    <cellStyle name="Output 6 2" xfId="7630"/>
    <cellStyle name="Title 2 2 5 3" xfId="7631"/>
    <cellStyle name="Title 2 3 2 3" xfId="7632"/>
    <cellStyle name="Title 2 6 3" xfId="7633"/>
    <cellStyle name="Title 2 9 2" xfId="7634"/>
    <cellStyle name="Title 3 6 3" xfId="7635"/>
    <cellStyle name="Title 4 3" xfId="7636"/>
    <cellStyle name="Title 5 3" xfId="7637"/>
    <cellStyle name="Title 6 2" xfId="7638"/>
    <cellStyle name="Total 2 8" xfId="7639"/>
    <cellStyle name="Total 2 2 3" xfId="7640"/>
    <cellStyle name="Total 2 2 2 2" xfId="7641"/>
    <cellStyle name="Total 2 3 3" xfId="7642"/>
    <cellStyle name="Total 2 3 2 2" xfId="7643"/>
    <cellStyle name="Total 2 4 3" xfId="7644"/>
    <cellStyle name="Total 2 4 2 2" xfId="7645"/>
    <cellStyle name="Total 2 5 2" xfId="7646"/>
    <cellStyle name="Total 2 6 2" xfId="7647"/>
    <cellStyle name="Total 2 7 2" xfId="7648"/>
    <cellStyle name="Total 3 4" xfId="7649"/>
    <cellStyle name="Total 3 2 3" xfId="7650"/>
    <cellStyle name="Total 3 2 2 2" xfId="7651"/>
    <cellStyle name="Total 3 3 2" xfId="7652"/>
    <cellStyle name="Total 4 3" xfId="7653"/>
    <cellStyle name="Total 4 2 2" xfId="7654"/>
    <cellStyle name="Total 5 3" xfId="7655"/>
    <cellStyle name="Total 5 2 2" xfId="7656"/>
    <cellStyle name="Total 6 2" xfId="7657"/>
    <cellStyle name="Warning Text 2 6" xfId="7658"/>
    <cellStyle name="Warning Text 2 2 2" xfId="7659"/>
    <cellStyle name="Warning Text 2 3 2" xfId="7660"/>
    <cellStyle name="Warning Text 2 4 2" xfId="7661"/>
    <cellStyle name="Warning Text 2 5 2" xfId="7662"/>
    <cellStyle name="Warning Text 3 4" xfId="7663"/>
    <cellStyle name="Warning Text 3 2 2" xfId="7664"/>
    <cellStyle name="Warning Text 3 3 2" xfId="7665"/>
    <cellStyle name="Warning Text 4 2" xfId="7666"/>
    <cellStyle name="Warning Text 5 2" xfId="7667"/>
    <cellStyle name="강조색1 2 10" xfId="7668"/>
    <cellStyle name="강조색1 2 2 2 2" xfId="7669"/>
    <cellStyle name="강조색1 2 2 3" xfId="7670"/>
    <cellStyle name="강조색1 2 2 4" xfId="7671"/>
    <cellStyle name="강조색1 2 4 2 2" xfId="7672"/>
    <cellStyle name="강조색1 2 4 3" xfId="7673"/>
    <cellStyle name="강조색1 2 5 2 2" xfId="7674"/>
    <cellStyle name="강조색1 2 5 3" xfId="7675"/>
    <cellStyle name="강조색1 2 7" xfId="7676"/>
    <cellStyle name="강조색1 2 8" xfId="7677"/>
    <cellStyle name="강조색1 2 9" xfId="7678"/>
    <cellStyle name="강조색1 3 3" xfId="7679"/>
    <cellStyle name="강조색1 3 2 2" xfId="7680"/>
    <cellStyle name="강조색2 2 10" xfId="7681"/>
    <cellStyle name="강조색2 2 2 2 2" xfId="7682"/>
    <cellStyle name="강조색2 2 2 3" xfId="7683"/>
    <cellStyle name="강조색2 2 2 4" xfId="7684"/>
    <cellStyle name="강조색2 2 4 2 2" xfId="7685"/>
    <cellStyle name="강조색2 2 4 3" xfId="7686"/>
    <cellStyle name="강조색2 2 5 2 2" xfId="7687"/>
    <cellStyle name="강조색2 2 5 3" xfId="7688"/>
    <cellStyle name="강조색2 2 7" xfId="7689"/>
    <cellStyle name="강조색2 2 8" xfId="7690"/>
    <cellStyle name="강조색2 2 9" xfId="7691"/>
    <cellStyle name="강조색2 3 3" xfId="7692"/>
    <cellStyle name="강조색2 3 2 2" xfId="7693"/>
    <cellStyle name="강조색3 2 10" xfId="7694"/>
    <cellStyle name="강조색3 2 2 2 2" xfId="7695"/>
    <cellStyle name="강조색3 2 2 3" xfId="7696"/>
    <cellStyle name="강조색3 2 2 4" xfId="7697"/>
    <cellStyle name="강조색3 2 4 2 2" xfId="7698"/>
    <cellStyle name="강조색3 2 4 3" xfId="7699"/>
    <cellStyle name="강조색3 2 5 2 2" xfId="7700"/>
    <cellStyle name="강조색3 2 5 3" xfId="7701"/>
    <cellStyle name="강조색3 2 7" xfId="7702"/>
    <cellStyle name="강조색3 2 8" xfId="7703"/>
    <cellStyle name="강조색3 2 9" xfId="7704"/>
    <cellStyle name="강조색3 3 3" xfId="7705"/>
    <cellStyle name="강조색3 3 2 2" xfId="7706"/>
    <cellStyle name="강조색4 2 10" xfId="7707"/>
    <cellStyle name="강조색4 2 2 2 2" xfId="7708"/>
    <cellStyle name="강조색4 2 2 3" xfId="7709"/>
    <cellStyle name="강조색4 2 2 4" xfId="7710"/>
    <cellStyle name="강조색4 2 4 2 2" xfId="7711"/>
    <cellStyle name="강조색4 2 4 3" xfId="7712"/>
    <cellStyle name="강조색4 2 5 2 2" xfId="7713"/>
    <cellStyle name="강조색4 2 5 3" xfId="7714"/>
    <cellStyle name="강조색4 2 7" xfId="7715"/>
    <cellStyle name="강조색4 2 8" xfId="7716"/>
    <cellStyle name="강조색4 2 9" xfId="7717"/>
    <cellStyle name="강조색4 3 3" xfId="7718"/>
    <cellStyle name="강조색4 3 2 2" xfId="7719"/>
    <cellStyle name="강조색5 2 10" xfId="7720"/>
    <cellStyle name="강조색5 2 2 2 2" xfId="7721"/>
    <cellStyle name="강조색5 2 2 3" xfId="7722"/>
    <cellStyle name="강조색5 2 4 2 2" xfId="7723"/>
    <cellStyle name="강조색5 2 4 3" xfId="7724"/>
    <cellStyle name="강조색5 2 5 2 2" xfId="7725"/>
    <cellStyle name="강조색5 2 5 3" xfId="7726"/>
    <cellStyle name="강조색5 2 7" xfId="7727"/>
    <cellStyle name="강조색5 2 8" xfId="7728"/>
    <cellStyle name="강조색5 2 9" xfId="7729"/>
    <cellStyle name="강조색5 3 2" xfId="7730"/>
    <cellStyle name="강조색6 2 10" xfId="7731"/>
    <cellStyle name="강조색6 2 2 2 2" xfId="7732"/>
    <cellStyle name="강조색6 2 2 3" xfId="7733"/>
    <cellStyle name="강조색6 2 2 4" xfId="7734"/>
    <cellStyle name="강조색6 2 4 2 2" xfId="7735"/>
    <cellStyle name="강조색6 2 4 3" xfId="7736"/>
    <cellStyle name="강조색6 2 5 2 2" xfId="7737"/>
    <cellStyle name="강조색6 2 5 3" xfId="7738"/>
    <cellStyle name="강조색6 2 7" xfId="7739"/>
    <cellStyle name="강조색6 2 8" xfId="7740"/>
    <cellStyle name="강조색6 2 9" xfId="7741"/>
    <cellStyle name="강조색6 3 3" xfId="7742"/>
    <cellStyle name="강조색6 3 2 2" xfId="7743"/>
    <cellStyle name="경고문 2 10" xfId="7744"/>
    <cellStyle name="경고문 2 2 2 2" xfId="7745"/>
    <cellStyle name="경고문 2 2 3" xfId="7746"/>
    <cellStyle name="경고문 2 4 2 2" xfId="7747"/>
    <cellStyle name="경고문 2 4 3" xfId="7748"/>
    <cellStyle name="경고문 2 5 2 2" xfId="7749"/>
    <cellStyle name="경고문 2 5 3" xfId="7750"/>
    <cellStyle name="경고문 2 7" xfId="7751"/>
    <cellStyle name="경고문 2 8" xfId="7752"/>
    <cellStyle name="경고문 2 9" xfId="7753"/>
    <cellStyle name="경고문 3 2" xfId="7754"/>
    <cellStyle name="계산 2 10" xfId="7755"/>
    <cellStyle name="계산 2 2 2 2" xfId="7756"/>
    <cellStyle name="계산 2 2 3" xfId="7757"/>
    <cellStyle name="계산 2 2 4" xfId="7758"/>
    <cellStyle name="계산 2 4 2 2" xfId="7759"/>
    <cellStyle name="계산 2 4 3" xfId="7760"/>
    <cellStyle name="계산 2 5 2 2" xfId="7761"/>
    <cellStyle name="계산 2 5 3" xfId="7762"/>
    <cellStyle name="계산 2 7" xfId="7763"/>
    <cellStyle name="계산 2 8" xfId="7764"/>
    <cellStyle name="계산 2 9" xfId="7765"/>
    <cellStyle name="계산 3 3" xfId="7766"/>
    <cellStyle name="계산 3 2 2" xfId="7767"/>
    <cellStyle name="나쁨 2 10" xfId="7768"/>
    <cellStyle name="나쁨 2 2 2 2" xfId="7769"/>
    <cellStyle name="나쁨 2 2 3" xfId="7770"/>
    <cellStyle name="나쁨 2 2 4" xfId="7771"/>
    <cellStyle name="나쁨 2 4 2 2" xfId="7772"/>
    <cellStyle name="나쁨 2 4 3" xfId="7773"/>
    <cellStyle name="나쁨 2 5 2 2" xfId="7774"/>
    <cellStyle name="나쁨 2 5 3" xfId="7775"/>
    <cellStyle name="나쁨 2 7" xfId="7776"/>
    <cellStyle name="나쁨 2 8" xfId="7777"/>
    <cellStyle name="나쁨 2 9" xfId="7778"/>
    <cellStyle name="나쁨 3 3" xfId="7779"/>
    <cellStyle name="나쁨 3 2 2" xfId="7780"/>
    <cellStyle name="백분율 2 3 2" xfId="7781"/>
    <cellStyle name="백분율 2 4 2" xfId="7782"/>
    <cellStyle name="백분율 2 5" xfId="7783"/>
    <cellStyle name="보통 2 10" xfId="7784"/>
    <cellStyle name="보통 2 2 2 2" xfId="7785"/>
    <cellStyle name="보통 2 2 3" xfId="7786"/>
    <cellStyle name="보통 2 2 4" xfId="7787"/>
    <cellStyle name="보통 2 4 2 2" xfId="7788"/>
    <cellStyle name="보통 2 4 3" xfId="7789"/>
    <cellStyle name="보통 2 5 2 2" xfId="7790"/>
    <cellStyle name="보통 2 5 3" xfId="7791"/>
    <cellStyle name="보통 2 7" xfId="7792"/>
    <cellStyle name="보통 2 8" xfId="7793"/>
    <cellStyle name="보통 2 9" xfId="7794"/>
    <cellStyle name="보통 3 3" xfId="7795"/>
    <cellStyle name="보통 3 2 2" xfId="7796"/>
    <cellStyle name="설명 텍스트 2 10" xfId="7797"/>
    <cellStyle name="설명 텍스트 2 2 2 2" xfId="7798"/>
    <cellStyle name="설명 텍스트 2 2 3" xfId="7799"/>
    <cellStyle name="설명 텍스트 2 4 2 2" xfId="7800"/>
    <cellStyle name="설명 텍스트 2 4 3" xfId="7801"/>
    <cellStyle name="설명 텍스트 2 5 2 2" xfId="7802"/>
    <cellStyle name="설명 텍스트 2 5 3" xfId="7803"/>
    <cellStyle name="설명 텍스트 2 7" xfId="7804"/>
    <cellStyle name="설명 텍스트 2 8" xfId="7805"/>
    <cellStyle name="설명 텍스트 2 9" xfId="7806"/>
    <cellStyle name="설명 텍스트 3 2" xfId="7807"/>
    <cellStyle name="셀 확인 2 10" xfId="7808"/>
    <cellStyle name="셀 확인 2 2 2 2" xfId="7809"/>
    <cellStyle name="셀 확인 2 2 3" xfId="7810"/>
    <cellStyle name="셀 확인 2 4 2 2" xfId="7811"/>
    <cellStyle name="셀 확인 2 4 3" xfId="7812"/>
    <cellStyle name="셀 확인 2 5 2 2" xfId="7813"/>
    <cellStyle name="셀 확인 2 5 3" xfId="7814"/>
    <cellStyle name="셀 확인 2 7" xfId="7815"/>
    <cellStyle name="셀 확인 2 8" xfId="7816"/>
    <cellStyle name="셀 확인 2 9" xfId="7817"/>
    <cellStyle name="셀 확인 3 2" xfId="7818"/>
    <cellStyle name="쉼표 2 3 2 2" xfId="7819"/>
    <cellStyle name="쉼표 2 4 2 2" xfId="7820"/>
    <cellStyle name="쉼표 2 5 2" xfId="7821"/>
    <cellStyle name="쉼표 3 3 2 2" xfId="7822"/>
    <cellStyle name="쉼표 3 4 2 2" xfId="7823"/>
    <cellStyle name="쉼표 3 5 2" xfId="7824"/>
    <cellStyle name="쉼표 4 3 2 2" xfId="7825"/>
    <cellStyle name="쉼표 4 4 2 2" xfId="7826"/>
    <cellStyle name="쉼표 4 5 2" xfId="7827"/>
    <cellStyle name="연결된 셀 2 10" xfId="7828"/>
    <cellStyle name="연결된 셀 2 2 2 2" xfId="7829"/>
    <cellStyle name="연결된 셀 2 2 3" xfId="7830"/>
    <cellStyle name="연결된 셀 2 2 4" xfId="7831"/>
    <cellStyle name="연결된 셀 2 4 2 2" xfId="7832"/>
    <cellStyle name="연결된 셀 2 4 3" xfId="7833"/>
    <cellStyle name="연결된 셀 2 5 2 2" xfId="7834"/>
    <cellStyle name="연결된 셀 2 5 3" xfId="7835"/>
    <cellStyle name="연결된 셀 2 7" xfId="7836"/>
    <cellStyle name="연결된 셀 2 8" xfId="7837"/>
    <cellStyle name="연결된 셀 2 9" xfId="7838"/>
    <cellStyle name="연결된 셀 3 3" xfId="7839"/>
    <cellStyle name="요약 2 10" xfId="7840"/>
    <cellStyle name="요약 2 2 2 2" xfId="7841"/>
    <cellStyle name="요약 2 2 3" xfId="7842"/>
    <cellStyle name="요약 2 2 4" xfId="7843"/>
    <cellStyle name="요약 2 4 2 2" xfId="7844"/>
    <cellStyle name="요약 2 4 3" xfId="7845"/>
    <cellStyle name="요약 2 5 2 2" xfId="7846"/>
    <cellStyle name="요약 2 5 3" xfId="7847"/>
    <cellStyle name="요약 2 7" xfId="7848"/>
    <cellStyle name="요약 2 8" xfId="7849"/>
    <cellStyle name="요약 2 9" xfId="7850"/>
    <cellStyle name="요약 3 3" xfId="7851"/>
    <cellStyle name="요약 3 2 2" xfId="7852"/>
    <cellStyle name="입력 2 10" xfId="7853"/>
    <cellStyle name="입력 2 2 2 2" xfId="7854"/>
    <cellStyle name="입력 2 2 3" xfId="7855"/>
    <cellStyle name="입력 2 2 4" xfId="7856"/>
    <cellStyle name="입력 2 4 2 2" xfId="7857"/>
    <cellStyle name="입력 2 4 3" xfId="7858"/>
    <cellStyle name="입력 2 5 2 2" xfId="7859"/>
    <cellStyle name="입력 2 5 3" xfId="7860"/>
    <cellStyle name="입력 2 6 2" xfId="7861"/>
    <cellStyle name="입력 2 7" xfId="7862"/>
    <cellStyle name="입력 2 8" xfId="7863"/>
    <cellStyle name="입력 2 9" xfId="7864"/>
    <cellStyle name="입력 3 3" xfId="7865"/>
    <cellStyle name="입력 3 2 2" xfId="7866"/>
    <cellStyle name="제목 1 2 11" xfId="7867"/>
    <cellStyle name="제목 1 2 10" xfId="7868"/>
    <cellStyle name="제목 1 2 2 5" xfId="7869"/>
    <cellStyle name="제목 1 2 2 2 2" xfId="7870"/>
    <cellStyle name="제목 1 2 2 3" xfId="7871"/>
    <cellStyle name="제목 1 2 2 4" xfId="7872"/>
    <cellStyle name="제목 1 2 3 5" xfId="7873"/>
    <cellStyle name="제목 1 2 3 2 3" xfId="7874"/>
    <cellStyle name="제목 1 2 3 3 3" xfId="7875"/>
    <cellStyle name="제목 1 2 3 4 2" xfId="7876"/>
    <cellStyle name="제목 1 2 4 4" xfId="7877"/>
    <cellStyle name="제목 1 2 4 2 2" xfId="7878"/>
    <cellStyle name="제목 1 2 4 3" xfId="7879"/>
    <cellStyle name="제목 1 2 5 4" xfId="7880"/>
    <cellStyle name="제목 1 2 5 2 2" xfId="7881"/>
    <cellStyle name="제목 1 2 5 3" xfId="7882"/>
    <cellStyle name="제목 1 2 6 2" xfId="7883"/>
    <cellStyle name="제목 1 2 7" xfId="7884"/>
    <cellStyle name="제목 1 2 8" xfId="7885"/>
    <cellStyle name="제목 1 2 9" xfId="7886"/>
    <cellStyle name="제목 1 3 3" xfId="7887"/>
    <cellStyle name="제목 1 3 2 2" xfId="7888"/>
    <cellStyle name="제목 2 2 11" xfId="7889"/>
    <cellStyle name="제목 2 2 10" xfId="7890"/>
    <cellStyle name="제목 2 2 2 5" xfId="7891"/>
    <cellStyle name="제목 2 2 2 2 2" xfId="7892"/>
    <cellStyle name="제목 2 2 2 3" xfId="7893"/>
    <cellStyle name="제목 2 2 2 4" xfId="7894"/>
    <cellStyle name="제목 2 2 3 5" xfId="7895"/>
    <cellStyle name="제목 2 2 3 2 3" xfId="7896"/>
    <cellStyle name="제목 2 2 3 3 3" xfId="7897"/>
    <cellStyle name="제목 2 2 3 4 2" xfId="7898"/>
    <cellStyle name="제목 2 2 4 4" xfId="7899"/>
    <cellStyle name="제목 2 2 4 2 2" xfId="7900"/>
    <cellStyle name="제목 2 2 4 3" xfId="7901"/>
    <cellStyle name="제목 2 2 5 4" xfId="7902"/>
    <cellStyle name="제목 2 2 5 2 2" xfId="7903"/>
    <cellStyle name="제목 2 2 5 3" xfId="7904"/>
    <cellStyle name="제목 2 2 6 2" xfId="7905"/>
    <cellStyle name="제목 2 2 7" xfId="7906"/>
    <cellStyle name="제목 2 2 8" xfId="7907"/>
    <cellStyle name="제목 2 2 9" xfId="7908"/>
    <cellStyle name="제목 2 3 3" xfId="7909"/>
    <cellStyle name="제목 2 3 2 2" xfId="7910"/>
    <cellStyle name="제목 3 2 11" xfId="7911"/>
    <cellStyle name="제목 3 2 10" xfId="7912"/>
    <cellStyle name="제목 3 2 2 5" xfId="7913"/>
    <cellStyle name="제목 3 2 2 2 2" xfId="7914"/>
    <cellStyle name="제목 3 2 2 3" xfId="7915"/>
    <cellStyle name="제목 3 2 2 4" xfId="7916"/>
    <cellStyle name="제목 3 2 3 5" xfId="7917"/>
    <cellStyle name="제목 3 2 3 2 3" xfId="7918"/>
    <cellStyle name="제목 3 2 3 3 3" xfId="7919"/>
    <cellStyle name="제목 3 2 3 4 2" xfId="7920"/>
    <cellStyle name="제목 3 2 4 4" xfId="7921"/>
    <cellStyle name="제목 3 2 4 2 2" xfId="7922"/>
    <cellStyle name="제목 3 2 4 3" xfId="7923"/>
    <cellStyle name="제목 3 2 5 4" xfId="7924"/>
    <cellStyle name="제목 3 2 5 2 2" xfId="7925"/>
    <cellStyle name="제목 3 2 5 3" xfId="7926"/>
    <cellStyle name="제목 3 2 6 2" xfId="7927"/>
    <cellStyle name="제목 3 2 7" xfId="7928"/>
    <cellStyle name="제목 3 2 8" xfId="7929"/>
    <cellStyle name="제목 3 2 9" xfId="7930"/>
    <cellStyle name="제목 3 3 3" xfId="7931"/>
    <cellStyle name="제목 3 3 2 2" xfId="7932"/>
    <cellStyle name="제목 4 2 11" xfId="7933"/>
    <cellStyle name="제목 4 2 10" xfId="7934"/>
    <cellStyle name="제목 4 2 2 5" xfId="7935"/>
    <cellStyle name="제목 4 2 2 2 2" xfId="7936"/>
    <cellStyle name="제목 4 2 2 3" xfId="7937"/>
    <cellStyle name="제목 4 2 2 4" xfId="7938"/>
    <cellStyle name="제목 4 2 3 5" xfId="7939"/>
    <cellStyle name="제목 4 2 3 2 3" xfId="7940"/>
    <cellStyle name="제목 4 2 3 3 3" xfId="7941"/>
    <cellStyle name="제목 4 2 3 4 2" xfId="7942"/>
    <cellStyle name="제목 4 2 4 4" xfId="7943"/>
    <cellStyle name="제목 4 2 4 2 2" xfId="7944"/>
    <cellStyle name="제목 4 2 4 3" xfId="7945"/>
    <cellStyle name="제목 4 2 5 4" xfId="7946"/>
    <cellStyle name="제목 4 2 5 2 2" xfId="7947"/>
    <cellStyle name="제목 4 2 5 3" xfId="7948"/>
    <cellStyle name="제목 4 2 6 2" xfId="7949"/>
    <cellStyle name="제목 4 2 7" xfId="7950"/>
    <cellStyle name="제목 4 2 8" xfId="7951"/>
    <cellStyle name="제목 4 2 9" xfId="7952"/>
    <cellStyle name="제목 4 3 3" xfId="7953"/>
    <cellStyle name="제목 4 3 2 2" xfId="7954"/>
    <cellStyle name="제목 5 11" xfId="7955"/>
    <cellStyle name="제목 5 10" xfId="7956"/>
    <cellStyle name="제목 5 2 5" xfId="7957"/>
    <cellStyle name="제목 5 2 2 2" xfId="7958"/>
    <cellStyle name="제목 5 2 3" xfId="7959"/>
    <cellStyle name="제목 5 2 4" xfId="7960"/>
    <cellStyle name="제목 5 3 5" xfId="7961"/>
    <cellStyle name="제목 5 3 2 3" xfId="7962"/>
    <cellStyle name="제목 5 3 3 3" xfId="7963"/>
    <cellStyle name="제목 5 3 4 2" xfId="7964"/>
    <cellStyle name="제목 5 4 4" xfId="7965"/>
    <cellStyle name="제목 5 4 2 2" xfId="7966"/>
    <cellStyle name="제목 5 4 3" xfId="7967"/>
    <cellStyle name="제목 5 5 4" xfId="7968"/>
    <cellStyle name="제목 5 5 2 2" xfId="7969"/>
    <cellStyle name="제목 5 5 3" xfId="7970"/>
    <cellStyle name="제목 5 6 2" xfId="7971"/>
    <cellStyle name="제목 5 7" xfId="7972"/>
    <cellStyle name="제목 5 8" xfId="7973"/>
    <cellStyle name="제목 5 9" xfId="7974"/>
    <cellStyle name="제목 6 3" xfId="7975"/>
    <cellStyle name="제목 6 2 2" xfId="7976"/>
    <cellStyle name="좋음 2 11" xfId="7977"/>
    <cellStyle name="좋음 2 10" xfId="7978"/>
    <cellStyle name="좋음 2 2 5" xfId="7979"/>
    <cellStyle name="좋음 2 2 2 2" xfId="7980"/>
    <cellStyle name="좋음 2 2 3" xfId="7981"/>
    <cellStyle name="좋음 2 2 4" xfId="7982"/>
    <cellStyle name="좋음 2 3 5" xfId="7983"/>
    <cellStyle name="좋음 2 3 2 3" xfId="7984"/>
    <cellStyle name="좋음 2 3 3 3" xfId="7985"/>
    <cellStyle name="좋음 2 3 4 2" xfId="7986"/>
    <cellStyle name="좋음 2 4 4" xfId="7987"/>
    <cellStyle name="좋음 2 4 2 2" xfId="7988"/>
    <cellStyle name="좋음 2 4 3" xfId="7989"/>
    <cellStyle name="좋음 2 5 4" xfId="7990"/>
    <cellStyle name="좋음 2 5 2 2" xfId="7991"/>
    <cellStyle name="좋음 2 5 3" xfId="7992"/>
    <cellStyle name="좋음 2 6 2" xfId="7993"/>
    <cellStyle name="좋음 2 7" xfId="7994"/>
    <cellStyle name="좋음 2 8" xfId="7995"/>
    <cellStyle name="좋음 2 9" xfId="7996"/>
    <cellStyle name="좋음 3 3" xfId="7997"/>
    <cellStyle name="좋음 3 2 2" xfId="7998"/>
    <cellStyle name="출력 2 11" xfId="7999"/>
    <cellStyle name="출력 2 10" xfId="8000"/>
    <cellStyle name="출력 2 2 5" xfId="8001"/>
    <cellStyle name="출력 2 2 2 2" xfId="8002"/>
    <cellStyle name="출력 2 2 3" xfId="8003"/>
    <cellStyle name="출력 2 2 4" xfId="8004"/>
    <cellStyle name="출력 2 3 5" xfId="8005"/>
    <cellStyle name="출력 2 3 2 3" xfId="8006"/>
    <cellStyle name="출력 2 3 3 3" xfId="8007"/>
    <cellStyle name="출력 2 3 4 2" xfId="8008"/>
    <cellStyle name="출력 2 4 4" xfId="8009"/>
    <cellStyle name="출력 2 4 2 2" xfId="8010"/>
    <cellStyle name="출력 2 4 3" xfId="8011"/>
    <cellStyle name="출력 2 5 4" xfId="8012"/>
    <cellStyle name="출력 2 5 2 2" xfId="8013"/>
    <cellStyle name="출력 2 5 3" xfId="8014"/>
    <cellStyle name="출력 2 6 2" xfId="8015"/>
    <cellStyle name="출력 2 7" xfId="8016"/>
    <cellStyle name="출력 2 8" xfId="8017"/>
    <cellStyle name="출력 2 9" xfId="8018"/>
    <cellStyle name="출력 3 3" xfId="8019"/>
    <cellStyle name="출력 3 2 2" xfId="8020"/>
    <cellStyle name="표준 10 10" xfId="8021"/>
    <cellStyle name="표준 10 2 10" xfId="8022"/>
    <cellStyle name="표준 10 2 2 8" xfId="8023"/>
    <cellStyle name="표준 10 2 2 2 4" xfId="8024"/>
    <cellStyle name="표준 10 2 2 2 2 2" xfId="8025"/>
    <cellStyle name="표준 10 2 2 2 3" xfId="8026"/>
    <cellStyle name="표준 10 2 2 3 4" xfId="8027"/>
    <cellStyle name="표준 10 2 2 3 2 2" xfId="8028"/>
    <cellStyle name="표준 10 2 2 3 3" xfId="8029"/>
    <cellStyle name="표준 10 2 2 4 4" xfId="8030"/>
    <cellStyle name="표준 10 2 2 4 2 2" xfId="8031"/>
    <cellStyle name="표준 10 2 2 4 3" xfId="8032"/>
    <cellStyle name="표준 10 2 2 5 2" xfId="8033"/>
    <cellStyle name="표준 10 2 2 6" xfId="8034"/>
    <cellStyle name="표준 10 2 2 7" xfId="8035"/>
    <cellStyle name="표준 10 2 3 8" xfId="8036"/>
    <cellStyle name="표준 10 2 3 2 4" xfId="8037"/>
    <cellStyle name="표준 10 2 3 2 2 2" xfId="8038"/>
    <cellStyle name="표준 10 2 3 2 3" xfId="8039"/>
    <cellStyle name="표준 10 2 3 3 4" xfId="8040"/>
    <cellStyle name="표준 10 2 3 3 2 2" xfId="8041"/>
    <cellStyle name="표준 10 2 3 3 3" xfId="8042"/>
    <cellStyle name="표준 10 2 3 4 4" xfId="8043"/>
    <cellStyle name="표준 10 2 3 4 2 2" xfId="8044"/>
    <cellStyle name="표준 10 2 3 4 3" xfId="8045"/>
    <cellStyle name="표준 10 2 3 5 2" xfId="8046"/>
    <cellStyle name="표준 10 2 3 6" xfId="8047"/>
    <cellStyle name="표준 10 2 3 7" xfId="8048"/>
    <cellStyle name="표준 10 2 4 4" xfId="8049"/>
    <cellStyle name="표준 10 2 4 2 2" xfId="8050"/>
    <cellStyle name="표준 10 2 4 3" xfId="8051"/>
    <cellStyle name="표준 10 2 5 4" xfId="8052"/>
    <cellStyle name="표준 10 2 5 2 2" xfId="8053"/>
    <cellStyle name="표준 10 2 5 3" xfId="8054"/>
    <cellStyle name="표준 10 2 6 4" xfId="8055"/>
    <cellStyle name="표준 10 2 6 2 2" xfId="8056"/>
    <cellStyle name="표준 10 2 6 3" xfId="8057"/>
    <cellStyle name="표준 10 2 7 2" xfId="8058"/>
    <cellStyle name="표준 10 2 8" xfId="8059"/>
    <cellStyle name="표준 10 2 9" xfId="8060"/>
    <cellStyle name="표준 10 3 8" xfId="8061"/>
    <cellStyle name="표준 10 3 2 4" xfId="8062"/>
    <cellStyle name="표준 10 3 2 2 2" xfId="8063"/>
    <cellStyle name="표준 10 3 2 3" xfId="8064"/>
    <cellStyle name="표준 10 3 3 4" xfId="8065"/>
    <cellStyle name="표준 10 3 3 2 2" xfId="8066"/>
    <cellStyle name="표준 10 3 3 3" xfId="8067"/>
    <cellStyle name="표준 10 3 4 4" xfId="8068"/>
    <cellStyle name="표준 10 3 4 2 2" xfId="8069"/>
    <cellStyle name="표준 10 3 4 3" xfId="8070"/>
    <cellStyle name="표준 10 3 5 2" xfId="8071"/>
    <cellStyle name="표준 10 3 6" xfId="8072"/>
    <cellStyle name="표준 10 3 7" xfId="8073"/>
    <cellStyle name="표준 10 4 4" xfId="8074"/>
    <cellStyle name="표준 10 4 2 2" xfId="8075"/>
    <cellStyle name="표준 10 4 3" xfId="8076"/>
    <cellStyle name="표준 10 5 4" xfId="8077"/>
    <cellStyle name="표준 10 5 2 2" xfId="8078"/>
    <cellStyle name="표준 10 5 3" xfId="8079"/>
    <cellStyle name="표준 10 6 4" xfId="8080"/>
    <cellStyle name="표준 10 6 2 2" xfId="8081"/>
    <cellStyle name="표준 10 6 3" xfId="8082"/>
    <cellStyle name="표준 10 7 2" xfId="8083"/>
    <cellStyle name="표준 10 8" xfId="8084"/>
    <cellStyle name="표준 10 9" xfId="8085"/>
    <cellStyle name="표준 11 2 2" xfId="8086"/>
    <cellStyle name="표준 11 3 4" xfId="8087"/>
    <cellStyle name="표준 11 3 2" xfId="8088"/>
    <cellStyle name="표준 11 3 3" xfId="8089"/>
    <cellStyle name="표준 11 4 4" xfId="8090"/>
    <cellStyle name="표준 11 4 2 4" xfId="8091"/>
    <cellStyle name="표준 11 4 2 2" xfId="8092"/>
    <cellStyle name="표준 11 4 2 3" xfId="8093"/>
    <cellStyle name="표준 11 4 3 2" xfId="8094"/>
    <cellStyle name="표준 11 5 2" xfId="8095"/>
    <cellStyle name="표준 11 6 8" xfId="8096"/>
    <cellStyle name="표준 11 6 2 4" xfId="8097"/>
    <cellStyle name="표준 11 6 2 2 2" xfId="8098"/>
    <cellStyle name="표준 11 6 2 3" xfId="8099"/>
    <cellStyle name="표준 11 6 3 4" xfId="8100"/>
    <cellStyle name="표준 11 6 3 2 2" xfId="8101"/>
    <cellStyle name="표준 11 6 3 3" xfId="8102"/>
    <cellStyle name="표준 11 6 4 4" xfId="8103"/>
    <cellStyle name="표준 11 6 4 2 2" xfId="8104"/>
    <cellStyle name="표준 11 6 4 3" xfId="8105"/>
    <cellStyle name="표준 11 6 5 2" xfId="8106"/>
    <cellStyle name="표준 11 6 6" xfId="8107"/>
    <cellStyle name="표준 11 6 7" xfId="8108"/>
    <cellStyle name="표준 11 7 4" xfId="8109"/>
    <cellStyle name="표준 11 7 2 2" xfId="8110"/>
    <cellStyle name="표준 11 8 2" xfId="8111"/>
    <cellStyle name="표준 11 9" xfId="8112"/>
    <cellStyle name="표준 12 8" xfId="8113"/>
    <cellStyle name="표준 12 2 4" xfId="8114"/>
    <cellStyle name="표준 12 2 2" xfId="8115"/>
    <cellStyle name="표준 12 2 3" xfId="8116"/>
    <cellStyle name="표준 12 3 4" xfId="8117"/>
    <cellStyle name="표준 12 3 2 4" xfId="8118"/>
    <cellStyle name="표준 12 3 2 2" xfId="8119"/>
    <cellStyle name="표준 12 3 2 3" xfId="8120"/>
    <cellStyle name="표준 12 3 3 2" xfId="8121"/>
    <cellStyle name="표준 12 4 2" xfId="8122"/>
    <cellStyle name="표준 12 5 2" xfId="8123"/>
    <cellStyle name="표준 12 6 4" xfId="8124"/>
    <cellStyle name="표준 12 6 2 2" xfId="8125"/>
    <cellStyle name="표준 12 6 3" xfId="8126"/>
    <cellStyle name="표준 12 7" xfId="8127"/>
    <cellStyle name="표준 13 2 3 2" xfId="8128"/>
    <cellStyle name="표준 13 2 4 2" xfId="8129"/>
    <cellStyle name="표준 13 2 5" xfId="8130"/>
    <cellStyle name="표준 13 3 8" xfId="8131"/>
    <cellStyle name="표준 13 3 2 4" xfId="8132"/>
    <cellStyle name="표준 13 3 2 2 2" xfId="8133"/>
    <cellStyle name="표준 13 3 2 3" xfId="8134"/>
    <cellStyle name="표준 13 3 3 4" xfId="8135"/>
    <cellStyle name="표준 13 3 3 2 2" xfId="8136"/>
    <cellStyle name="표준 13 3 3 3" xfId="8137"/>
    <cellStyle name="표준 13 3 4 4" xfId="8138"/>
    <cellStyle name="표준 13 3 4 2 2" xfId="8139"/>
    <cellStyle name="표준 13 3 4 3" xfId="8140"/>
    <cellStyle name="표준 13 3 5 2" xfId="8141"/>
    <cellStyle name="표준 13 3 6" xfId="8142"/>
    <cellStyle name="표준 13 3 7" xfId="8143"/>
    <cellStyle name="표준 13 5 2" xfId="8144"/>
    <cellStyle name="표준 13 6 2" xfId="8145"/>
    <cellStyle name="표준 13 7" xfId="8146"/>
    <cellStyle name="표준 14 8" xfId="8147"/>
    <cellStyle name="표준 14 2 4" xfId="8148"/>
    <cellStyle name="표준 14 2 2 2" xfId="8149"/>
    <cellStyle name="표준 14 2 3" xfId="8150"/>
    <cellStyle name="표준 14 3 4" xfId="8151"/>
    <cellStyle name="표준 14 3 2 2" xfId="8152"/>
    <cellStyle name="표준 14 3 3" xfId="8153"/>
    <cellStyle name="표준 14 4 4" xfId="8154"/>
    <cellStyle name="표준 14 4 2 2" xfId="8155"/>
    <cellStyle name="표준 14 4 3" xfId="8156"/>
    <cellStyle name="표준 14 5 2" xfId="8157"/>
    <cellStyle name="표준 14 6" xfId="8158"/>
    <cellStyle name="표준 14 7" xfId="8159"/>
    <cellStyle name="표준 15 8" xfId="8160"/>
    <cellStyle name="표준 15 2 4" xfId="8161"/>
    <cellStyle name="표준 15 2 2 2" xfId="8162"/>
    <cellStyle name="표준 15 2 3" xfId="8163"/>
    <cellStyle name="표준 15 3 4" xfId="8164"/>
    <cellStyle name="표준 15 3 2 2" xfId="8165"/>
    <cellStyle name="표준 15 3 3" xfId="8166"/>
    <cellStyle name="표준 15 4 4" xfId="8167"/>
    <cellStyle name="표준 15 4 2 2" xfId="8168"/>
    <cellStyle name="표준 15 4 3" xfId="8169"/>
    <cellStyle name="표준 15 5 2" xfId="8170"/>
    <cellStyle name="표준 15 6" xfId="8171"/>
    <cellStyle name="표준 15 7" xfId="8172"/>
    <cellStyle name="표준 16 3 2" xfId="8173"/>
    <cellStyle name="표준 16 4 2" xfId="8174"/>
    <cellStyle name="표준 16 5" xfId="8175"/>
    <cellStyle name="표준 17 2 3 2" xfId="8176"/>
    <cellStyle name="표준 17 2 4" xfId="8177"/>
    <cellStyle name="표준 17 3 2" xfId="8178"/>
    <cellStyle name="표준 17 4 2" xfId="8179"/>
    <cellStyle name="표준 17 5" xfId="8180"/>
    <cellStyle name="표준 172 2" xfId="8181"/>
    <cellStyle name="표준 18 10 4" xfId="8182"/>
    <cellStyle name="표준 18 10 2 2" xfId="8183"/>
    <cellStyle name="표준 18 10 3" xfId="8184"/>
    <cellStyle name="표준 18 11 2" xfId="8185"/>
    <cellStyle name="표준 18 12" xfId="8186"/>
    <cellStyle name="표준 18 13" xfId="8187"/>
    <cellStyle name="표준 18 2 9" xfId="8188"/>
    <cellStyle name="표준 18 2 2 4" xfId="8189"/>
    <cellStyle name="표준 18 2 2 2 2" xfId="8190"/>
    <cellStyle name="표준 18 2 2 3" xfId="8191"/>
    <cellStyle name="표준 18 2 3 4" xfId="8192"/>
    <cellStyle name="표준 18 2 3 2 2" xfId="8193"/>
    <cellStyle name="표준 18 2 3 3" xfId="8194"/>
    <cellStyle name="표준 18 2 4 4" xfId="8195"/>
    <cellStyle name="표준 18 2 4 2 2" xfId="8196"/>
    <cellStyle name="표준 18 2 4 3" xfId="8197"/>
    <cellStyle name="표준 18 2 5 3" xfId="8198"/>
    <cellStyle name="표준 18 2 5 2" xfId="8199"/>
    <cellStyle name="표준 18 2 6" xfId="8200"/>
    <cellStyle name="표준 18 2 7" xfId="8201"/>
    <cellStyle name="표준 18 2 8" xfId="8202"/>
    <cellStyle name="표준 18 3 10 2" xfId="8203"/>
    <cellStyle name="표준 18 3 11" xfId="8204"/>
    <cellStyle name="표준 18 3 2 2 2 4" xfId="8205"/>
    <cellStyle name="표준 18 3 2 2 2 2 2" xfId="8206"/>
    <cellStyle name="표준 18 3 2 2 2 3" xfId="8207"/>
    <cellStyle name="표준 18 3 2 3 4" xfId="8208"/>
    <cellStyle name="표준 18 3 2 3 2 2" xfId="8209"/>
    <cellStyle name="표준 18 3 2 3 3" xfId="8210"/>
    <cellStyle name="표준 18 3 2 4 4" xfId="8211"/>
    <cellStyle name="표준 18 3 2 4 2 2" xfId="8212"/>
    <cellStyle name="표준 18 3 2 4 3" xfId="8213"/>
    <cellStyle name="표준 18 3 2 5 2" xfId="8214"/>
    <cellStyle name="표준 18 3 2 6" xfId="8215"/>
    <cellStyle name="표준 18 3 2 7" xfId="8216"/>
    <cellStyle name="표준 18 3 3 3 2" xfId="8217"/>
    <cellStyle name="표준 18 3 3 4 2" xfId="8218"/>
    <cellStyle name="표준 18 3 3 5" xfId="8219"/>
    <cellStyle name="표준 18 3 4 8" xfId="8220"/>
    <cellStyle name="표준 18 3 4 2 4" xfId="8221"/>
    <cellStyle name="표준 18 3 4 2 2 2" xfId="8222"/>
    <cellStyle name="표준 18 3 4 2 3" xfId="8223"/>
    <cellStyle name="표준 18 3 4 3 4" xfId="8224"/>
    <cellStyle name="표준 18 3 4 3 2 2" xfId="8225"/>
    <cellStyle name="표준 18 3 4 3 3" xfId="8226"/>
    <cellStyle name="표준 18 3 4 4 4" xfId="8227"/>
    <cellStyle name="표준 18 3 4 4 2 2" xfId="8228"/>
    <cellStyle name="표준 18 3 4 4 3" xfId="8229"/>
    <cellStyle name="표준 18 3 4 5 2" xfId="8230"/>
    <cellStyle name="표준 18 3 4 6" xfId="8231"/>
    <cellStyle name="표준 18 3 4 7" xfId="8232"/>
    <cellStyle name="표준 18 3 5 3 2" xfId="8233"/>
    <cellStyle name="표준 18 3 5 4 2" xfId="8234"/>
    <cellStyle name="표준 18 3 5 5" xfId="8235"/>
    <cellStyle name="표준 18 3 6 8" xfId="8236"/>
    <cellStyle name="표준 18 3 6 2 4" xfId="8237"/>
    <cellStyle name="표준 18 3 6 2 2 2" xfId="8238"/>
    <cellStyle name="표준 18 3 6 2 3" xfId="8239"/>
    <cellStyle name="표준 18 3 6 3 4" xfId="8240"/>
    <cellStyle name="표준 18 3 6 3 2 2" xfId="8241"/>
    <cellStyle name="표준 18 3 6 3 3" xfId="8242"/>
    <cellStyle name="표준 18 3 6 4 4" xfId="8243"/>
    <cellStyle name="표준 18 3 6 4 2 2" xfId="8244"/>
    <cellStyle name="표준 18 3 6 4 3" xfId="8245"/>
    <cellStyle name="표준 18 3 6 5 2" xfId="8246"/>
    <cellStyle name="표준 18 3 6 6" xfId="8247"/>
    <cellStyle name="표준 18 3 6 7" xfId="8248"/>
    <cellStyle name="표준 18 3 7 4" xfId="8249"/>
    <cellStyle name="표준 18 3 7 2 2" xfId="8250"/>
    <cellStyle name="표준 18 3 7 3" xfId="8251"/>
    <cellStyle name="표준 18 3 8 4" xfId="8252"/>
    <cellStyle name="표준 18 3 8 2 2" xfId="8253"/>
    <cellStyle name="표준 18 3 8 3" xfId="8254"/>
    <cellStyle name="표준 18 3 9 4" xfId="8255"/>
    <cellStyle name="표준 18 3 9 2 2" xfId="8256"/>
    <cellStyle name="표준 18 3 9 3" xfId="8257"/>
    <cellStyle name="표준 18 4 8" xfId="8258"/>
    <cellStyle name="표준 18 4 2 4" xfId="8259"/>
    <cellStyle name="표준 18 4 2 2 2" xfId="8260"/>
    <cellStyle name="표준 18 4 2 3" xfId="8261"/>
    <cellStyle name="표준 18 4 3 4" xfId="8262"/>
    <cellStyle name="표준 18 4 3 2 2" xfId="8263"/>
    <cellStyle name="표준 18 4 3 3" xfId="8264"/>
    <cellStyle name="표준 18 4 4 4" xfId="8265"/>
    <cellStyle name="표준 18 4 4 2 2" xfId="8266"/>
    <cellStyle name="표준 18 4 4 3" xfId="8267"/>
    <cellStyle name="표준 18 4 5 2" xfId="8268"/>
    <cellStyle name="표준 18 4 6" xfId="8269"/>
    <cellStyle name="표준 18 4 7" xfId="8270"/>
    <cellStyle name="표준 18 5 3 2" xfId="8271"/>
    <cellStyle name="표준 18 5 4 2" xfId="8272"/>
    <cellStyle name="표준 18 5 5" xfId="8273"/>
    <cellStyle name="표준 18 6 8" xfId="8274"/>
    <cellStyle name="표준 18 6 2 4" xfId="8275"/>
    <cellStyle name="표준 18 6 2 2 2" xfId="8276"/>
    <cellStyle name="표준 18 6 2 3" xfId="8277"/>
    <cellStyle name="표준 18 6 3 4" xfId="8278"/>
    <cellStyle name="표준 18 6 3 2 2" xfId="8279"/>
    <cellStyle name="표준 18 6 3 3" xfId="8280"/>
    <cellStyle name="표준 18 6 4 4" xfId="8281"/>
    <cellStyle name="표준 18 6 4 2 2" xfId="8282"/>
    <cellStyle name="표준 18 6 4 3" xfId="8283"/>
    <cellStyle name="표준 18 6 5 2" xfId="8284"/>
    <cellStyle name="표준 18 6 6" xfId="8285"/>
    <cellStyle name="표준 18 6 7" xfId="8286"/>
    <cellStyle name="표준 18 7 8" xfId="8287"/>
    <cellStyle name="표준 18 7 2 4" xfId="8288"/>
    <cellStyle name="표준 18 7 2 2 2" xfId="8289"/>
    <cellStyle name="표준 18 7 2 3" xfId="8290"/>
    <cellStyle name="표준 18 7 3 4" xfId="8291"/>
    <cellStyle name="표준 18 7 3 2 2" xfId="8292"/>
    <cellStyle name="표준 18 7 3 3" xfId="8293"/>
    <cellStyle name="표준 18 7 4 4" xfId="8294"/>
    <cellStyle name="표준 18 7 4 2 2" xfId="8295"/>
    <cellStyle name="표준 18 7 4 3" xfId="8296"/>
    <cellStyle name="표준 18 7 5 2" xfId="8297"/>
    <cellStyle name="표준 18 7 6" xfId="8298"/>
    <cellStyle name="표준 18 7 7" xfId="8299"/>
    <cellStyle name="표준 18 8 4" xfId="8300"/>
    <cellStyle name="표준 18 8 2 2" xfId="8301"/>
    <cellStyle name="표준 18 8 3" xfId="8302"/>
    <cellStyle name="표준 18 9 4" xfId="8303"/>
    <cellStyle name="표준 18 9 2 2" xfId="8304"/>
    <cellStyle name="표준 18 9 3" xfId="8305"/>
    <cellStyle name="표준 19 2 10" xfId="8306"/>
    <cellStyle name="표준 19 2 2 8" xfId="8307"/>
    <cellStyle name="표준 19 2 2 2 4" xfId="8308"/>
    <cellStyle name="표준 19 2 2 2 2 2" xfId="8309"/>
    <cellStyle name="표준 19 2 2 2 3" xfId="8310"/>
    <cellStyle name="표준 19 2 2 3 4" xfId="8311"/>
    <cellStyle name="표준 19 2 2 3 2 2" xfId="8312"/>
    <cellStyle name="표준 19 2 2 3 3" xfId="8313"/>
    <cellStyle name="표준 19 2 2 4 4" xfId="8314"/>
    <cellStyle name="표준 19 2 2 4 2 2" xfId="8315"/>
    <cellStyle name="표준 19 2 2 4 3" xfId="8316"/>
    <cellStyle name="표준 19 2 2 5 2" xfId="8317"/>
    <cellStyle name="표준 19 2 2 6" xfId="8318"/>
    <cellStyle name="표준 19 2 2 7" xfId="8319"/>
    <cellStyle name="표준 19 2 3 8" xfId="8320"/>
    <cellStyle name="표준 19 2 3 2 4" xfId="8321"/>
    <cellStyle name="표준 19 2 3 2 2 2" xfId="8322"/>
    <cellStyle name="표준 19 2 3 2 3" xfId="8323"/>
    <cellStyle name="표준 19 2 3 3 4" xfId="8324"/>
    <cellStyle name="표준 19 2 3 3 2 2" xfId="8325"/>
    <cellStyle name="표준 19 2 3 3 3" xfId="8326"/>
    <cellStyle name="표준 19 2 3 4 4" xfId="8327"/>
    <cellStyle name="표준 19 2 3 4 2 2" xfId="8328"/>
    <cellStyle name="표준 19 2 3 4 3" xfId="8329"/>
    <cellStyle name="표준 19 2 3 5 2" xfId="8330"/>
    <cellStyle name="표준 19 2 3 6" xfId="8331"/>
    <cellStyle name="표준 19 2 3 7" xfId="8332"/>
    <cellStyle name="표준 19 2 4 7" xfId="8333"/>
    <cellStyle name="표준 19 2 4 2 4" xfId="8334"/>
    <cellStyle name="표준 19 2 4 2 2 2" xfId="8335"/>
    <cellStyle name="표준 19 2 4 2 3" xfId="8336"/>
    <cellStyle name="표준 19 2 4 3 4" xfId="8337"/>
    <cellStyle name="표준 19 2 4 3 2 2" xfId="8338"/>
    <cellStyle name="표준 19 2 4 3 3" xfId="8339"/>
    <cellStyle name="표준 19 2 4 4 2" xfId="8340"/>
    <cellStyle name="표준 19 2 4 5" xfId="8341"/>
    <cellStyle name="표준 19 2 4 6" xfId="8342"/>
    <cellStyle name="표준 19 2 5 4" xfId="8343"/>
    <cellStyle name="표준 19 2 5 2 2" xfId="8344"/>
    <cellStyle name="표준 19 2 5 3" xfId="8345"/>
    <cellStyle name="표준 19 2 6 4" xfId="8346"/>
    <cellStyle name="표준 19 2 6 2 2" xfId="8347"/>
    <cellStyle name="표준 19 2 6 3" xfId="8348"/>
    <cellStyle name="표준 19 2 7 2" xfId="8349"/>
    <cellStyle name="표준 19 2 8" xfId="8350"/>
    <cellStyle name="표준 19 2 9" xfId="8351"/>
    <cellStyle name="표준 19 3 3 2" xfId="8352"/>
    <cellStyle name="표준 19 3 4 2" xfId="8353"/>
    <cellStyle name="표준 19 3 5" xfId="8354"/>
    <cellStyle name="표준 19 4 2 3 2" xfId="8355"/>
    <cellStyle name="표준 19 4 2 4" xfId="8356"/>
    <cellStyle name="표준 19 4 3 2" xfId="8357"/>
    <cellStyle name="표준 19 4 4 2" xfId="8358"/>
    <cellStyle name="표준 19 4 5" xfId="8359"/>
    <cellStyle name="표준 19 5 4" xfId="8360"/>
    <cellStyle name="표준 19 5 2 2" xfId="8361"/>
    <cellStyle name="표준 19 5 3" xfId="8362"/>
    <cellStyle name="표준 19 6 4" xfId="8363"/>
    <cellStyle name="표준 19 6 2 2" xfId="8364"/>
    <cellStyle name="표준 19 6 3" xfId="8365"/>
    <cellStyle name="표준 19 7 4" xfId="8366"/>
    <cellStyle name="표준 19 7 2 2" xfId="8367"/>
    <cellStyle name="표준 19 7 3" xfId="8368"/>
    <cellStyle name="표준 19 8 2" xfId="8369"/>
    <cellStyle name="표준 19 9" xfId="8370"/>
    <cellStyle name="표준 2 10 5" xfId="8371"/>
    <cellStyle name="표준 2 10 2 2" xfId="8372"/>
    <cellStyle name="표준 2 10 3" xfId="8373"/>
    <cellStyle name="표준 2 10 4" xfId="8374"/>
    <cellStyle name="표준 2 11 3" xfId="8375"/>
    <cellStyle name="표준 2 12 2" xfId="8376"/>
    <cellStyle name="표준 2 2 2 3 2" xfId="8377"/>
    <cellStyle name="표준 2 2 2 4 2" xfId="8378"/>
    <cellStyle name="표준 2 2 2 5" xfId="8379"/>
    <cellStyle name="표준 2 2 3 8" xfId="8380"/>
    <cellStyle name="표준 2 2 3 2 4" xfId="8381"/>
    <cellStyle name="표준 2 2 3 2 2 2" xfId="8382"/>
    <cellStyle name="표준 2 2 3 2 3" xfId="8383"/>
    <cellStyle name="표준 2 2 3 3 4" xfId="8384"/>
    <cellStyle name="표준 2 2 3 3 2 2" xfId="8385"/>
    <cellStyle name="표준 2 2 3 3 3" xfId="8386"/>
    <cellStyle name="표준 2 2 3 4 4" xfId="8387"/>
    <cellStyle name="표준 2 2 3 4 2 2" xfId="8388"/>
    <cellStyle name="표준 2 2 3 4 3" xfId="8389"/>
    <cellStyle name="표준 2 2 3 5 2" xfId="8390"/>
    <cellStyle name="표준 2 2 3 6" xfId="8391"/>
    <cellStyle name="표준 2 2 3 7" xfId="8392"/>
    <cellStyle name="표준 2 2 5 2" xfId="8393"/>
    <cellStyle name="표준 2 2 6 2" xfId="8394"/>
    <cellStyle name="표준 2 2 7" xfId="8395"/>
    <cellStyle name="표준 2 3 2 2 3 2" xfId="8396"/>
    <cellStyle name="표준 2 3 2 2 4 2" xfId="8397"/>
    <cellStyle name="표준 2 3 2 2 5" xfId="8398"/>
    <cellStyle name="표준 2 3 2 3 8" xfId="8399"/>
    <cellStyle name="표준 2 3 2 3 2 4" xfId="8400"/>
    <cellStyle name="표준 2 3 2 3 2 2 2" xfId="8401"/>
    <cellStyle name="표준 2 3 2 3 2 3" xfId="8402"/>
    <cellStyle name="표준 2 3 2 3 3 4" xfId="8403"/>
    <cellStyle name="표준 2 3 2 3 3 2 2" xfId="8404"/>
    <cellStyle name="표준 2 3 2 3 3 3" xfId="8405"/>
    <cellStyle name="표준 2 3 2 3 4 4" xfId="8406"/>
    <cellStyle name="표준 2 3 2 3 4 2 2" xfId="8407"/>
    <cellStyle name="표준 2 3 2 3 4 3" xfId="8408"/>
    <cellStyle name="표준 2 3 2 3 5 2" xfId="8409"/>
    <cellStyle name="표준 2 3 2 3 6" xfId="8410"/>
    <cellStyle name="표준 2 3 2 3 7" xfId="8411"/>
    <cellStyle name="표준 2 3 2 5 2" xfId="8412"/>
    <cellStyle name="표준 2 3 2 6 2" xfId="8413"/>
    <cellStyle name="표준 2 3 2 7" xfId="8414"/>
    <cellStyle name="표준 2 3 3 9" xfId="8415"/>
    <cellStyle name="표준 2 3 3 2 6" xfId="8416"/>
    <cellStyle name="표준 2 3 3 2 2 2" xfId="8417"/>
    <cellStyle name="표준 2 3 3 2 3" xfId="8418"/>
    <cellStyle name="표준 2 3 3 2 4" xfId="8419"/>
    <cellStyle name="표준 2 3 3 2 5" xfId="8420"/>
    <cellStyle name="표준 2 3 3 3 4" xfId="8421"/>
    <cellStyle name="표준 2 3 3 3 2 2" xfId="8422"/>
    <cellStyle name="표준 2 3 3 3 3" xfId="8423"/>
    <cellStyle name="표준 2 3 3 4 4" xfId="8424"/>
    <cellStyle name="표준 2 3 3 4 2 2" xfId="8425"/>
    <cellStyle name="표준 2 3 3 4 3" xfId="8426"/>
    <cellStyle name="표준 2 3 3 5 3" xfId="8427"/>
    <cellStyle name="표준 2 3 3 5 2" xfId="8428"/>
    <cellStyle name="표준 2 3 3 6" xfId="8429"/>
    <cellStyle name="표준 2 3 3 7" xfId="8430"/>
    <cellStyle name="표준 2 3 3 8" xfId="8431"/>
    <cellStyle name="표준 2 3 4 4" xfId="8432"/>
    <cellStyle name="표준 2 3 4 2 2" xfId="8433"/>
    <cellStyle name="표준 2 3 4 3" xfId="8434"/>
    <cellStyle name="표준 2 3 5 4" xfId="8435"/>
    <cellStyle name="표준 2 3 5 2 2" xfId="8436"/>
    <cellStyle name="표준 2 3 5 3" xfId="8437"/>
    <cellStyle name="표준 2 3 6 4" xfId="8438"/>
    <cellStyle name="표준 2 3 6 2 2" xfId="8439"/>
    <cellStyle name="표준 2 3 6 3" xfId="8440"/>
    <cellStyle name="표준 2 3 7 2" xfId="8441"/>
    <cellStyle name="표준 2 3 8" xfId="8442"/>
    <cellStyle name="표준 2 3 9" xfId="8443"/>
    <cellStyle name="표준 2 4 11" xfId="8444"/>
    <cellStyle name="표준 2 4 10" xfId="8445"/>
    <cellStyle name="표준 2 4 2 8" xfId="8446"/>
    <cellStyle name="표준 2 4 2 2 4" xfId="8447"/>
    <cellStyle name="표준 2 4 2 2 2 2" xfId="8448"/>
    <cellStyle name="표준 2 4 2 2 3" xfId="8449"/>
    <cellStyle name="표준 2 4 2 3 5" xfId="8450"/>
    <cellStyle name="표준 2 4 2 3 2 2" xfId="8451"/>
    <cellStyle name="표준 2 4 2 3 3" xfId="8452"/>
    <cellStyle name="표준 2 4 2 3 4" xfId="8453"/>
    <cellStyle name="표준 2 4 2 4 4" xfId="8454"/>
    <cellStyle name="표준 2 4 2 4 2 2" xfId="8455"/>
    <cellStyle name="표준 2 4 2 4 3" xfId="8456"/>
    <cellStyle name="표준 2 4 2 5 2" xfId="8457"/>
    <cellStyle name="표준 2 4 2 6" xfId="8458"/>
    <cellStyle name="표준 2 4 2 7" xfId="8459"/>
    <cellStyle name="표준 2 4 3 4" xfId="8460"/>
    <cellStyle name="표준 2 4 3 2 4" xfId="8461"/>
    <cellStyle name="표준 2 4 3 2 2" xfId="8462"/>
    <cellStyle name="표준 2 4 3 2 3" xfId="8463"/>
    <cellStyle name="표준 2 4 3 3 2" xfId="8464"/>
    <cellStyle name="표준 2 4 4 8" xfId="8465"/>
    <cellStyle name="표준 2 4 4 2 4" xfId="8466"/>
    <cellStyle name="표준 2 4 4 2 2 2" xfId="8467"/>
    <cellStyle name="표준 2 4 4 2 3" xfId="8468"/>
    <cellStyle name="표준 2 4 4 3 4" xfId="8469"/>
    <cellStyle name="표준 2 4 4 3 2 2" xfId="8470"/>
    <cellStyle name="표준 2 4 4 3 3" xfId="8471"/>
    <cellStyle name="표준 2 4 4 4 4" xfId="8472"/>
    <cellStyle name="표준 2 4 4 4 2 2" xfId="8473"/>
    <cellStyle name="표준 2 4 4 4 3" xfId="8474"/>
    <cellStyle name="표준 2 4 4 5 2" xfId="8475"/>
    <cellStyle name="표준 2 4 4 6" xfId="8476"/>
    <cellStyle name="표준 2 4 4 7" xfId="8477"/>
    <cellStyle name="표준 2 4 5 4" xfId="8478"/>
    <cellStyle name="표준 2 4 5 2 2" xfId="8479"/>
    <cellStyle name="표준 2 4 5 3" xfId="8480"/>
    <cellStyle name="표준 2 4 6 4" xfId="8481"/>
    <cellStyle name="표준 2 4 6 2 2" xfId="8482"/>
    <cellStyle name="표준 2 4 6 3" xfId="8483"/>
    <cellStyle name="표준 2 4 7 4" xfId="8484"/>
    <cellStyle name="표준 2 4 7 2 2" xfId="8485"/>
    <cellStyle name="표준 2 4 7 3" xfId="8486"/>
    <cellStyle name="표준 2 4 8 2" xfId="8487"/>
    <cellStyle name="표준 2 4 9" xfId="8488"/>
    <cellStyle name="표준 2 5 11" xfId="8489"/>
    <cellStyle name="표준 2 5 10" xfId="8490"/>
    <cellStyle name="표준 2 5 2 7" xfId="8491"/>
    <cellStyle name="표준 2 5 2 2 3" xfId="8492"/>
    <cellStyle name="표준 2 5 2 3 3" xfId="8493"/>
    <cellStyle name="표준 2 5 2 4 2" xfId="8494"/>
    <cellStyle name="표준 2 5 2 5" xfId="8495"/>
    <cellStyle name="표준 2 5 2 6" xfId="8496"/>
    <cellStyle name="표준 2 5 3 4" xfId="8497"/>
    <cellStyle name="표준 2 5 3 2 3" xfId="8498"/>
    <cellStyle name="표준 2 5 3 3 2" xfId="8499"/>
    <cellStyle name="표준 2 5 4 4" xfId="8500"/>
    <cellStyle name="표준 2 5 4 2 2" xfId="8501"/>
    <cellStyle name="표준 2 5 4 3" xfId="8502"/>
    <cellStyle name="표준 2 5 5 3" xfId="8503"/>
    <cellStyle name="표준 2 5 6 2" xfId="8504"/>
    <cellStyle name="표준 2 5 7 2" xfId="8505"/>
    <cellStyle name="표준 2 5 8 2" xfId="8506"/>
    <cellStyle name="표준 2 5 9" xfId="8507"/>
    <cellStyle name="표준 2 6 11" xfId="8508"/>
    <cellStyle name="표준 2 6 10" xfId="8509"/>
    <cellStyle name="표준 2 6 2 4 2" xfId="8510"/>
    <cellStyle name="표준 2 6 2 2 3" xfId="8511"/>
    <cellStyle name="표준 2 6 2 3 3" xfId="8512"/>
    <cellStyle name="표준 2 6 3 4" xfId="8513"/>
    <cellStyle name="표준 2 6 3 2 3" xfId="8514"/>
    <cellStyle name="표준 2 6 3 3 2" xfId="8515"/>
    <cellStyle name="표준 2 6 4 4" xfId="8516"/>
    <cellStyle name="표준 2 6 4 2 2" xfId="8517"/>
    <cellStyle name="표준 2 6 4 3" xfId="8518"/>
    <cellStyle name="표준 2 6 5 3" xfId="8519"/>
    <cellStyle name="표준 2 6 6 2" xfId="8520"/>
    <cellStyle name="표준 2 6 7 2" xfId="8521"/>
    <cellStyle name="표준 2 6 8 2" xfId="8522"/>
    <cellStyle name="표준 2 6 9" xfId="8523"/>
    <cellStyle name="표준 2 7 8" xfId="8524"/>
    <cellStyle name="표준 2 7 2 4 2" xfId="8525"/>
    <cellStyle name="표준 2 7 2 2 3" xfId="8526"/>
    <cellStyle name="표준 2 7 2 3 3" xfId="8527"/>
    <cellStyle name="표준 2 7 3 4" xfId="8528"/>
    <cellStyle name="표준 2 7 3 2 3" xfId="8529"/>
    <cellStyle name="표준 2 7 3 3 2" xfId="8530"/>
    <cellStyle name="표준 2 7 4 4" xfId="8531"/>
    <cellStyle name="표준 2 7 4 2 2" xfId="8532"/>
    <cellStyle name="표준 2 7 4 3" xfId="8533"/>
    <cellStyle name="표준 2 7 5 3" xfId="8534"/>
    <cellStyle name="표준 2 7 6 2" xfId="8535"/>
    <cellStyle name="표준 2 7 7" xfId="8536"/>
    <cellStyle name="표준 2 8 7" xfId="8537"/>
    <cellStyle name="표준 2 8 2 4" xfId="8538"/>
    <cellStyle name="표준 2 8 2 2 3" xfId="8539"/>
    <cellStyle name="표준 2 8 2 3 2" xfId="8540"/>
    <cellStyle name="표준 2 8 3 3" xfId="8541"/>
    <cellStyle name="표준 2 8 3 2 3" xfId="8542"/>
    <cellStyle name="표준 2 8 4 2" xfId="8543"/>
    <cellStyle name="표준 2 8 5" xfId="8544"/>
    <cellStyle name="표준 2 8 6" xfId="8545"/>
    <cellStyle name="표준 2 9 4" xfId="8546"/>
    <cellStyle name="표준 2 9 2 3" xfId="8547"/>
    <cellStyle name="표준 2 9 3 2" xfId="8548"/>
    <cellStyle name="표준 20 10 5" xfId="8549"/>
    <cellStyle name="표준 20 10 2 3" xfId="8550"/>
    <cellStyle name="표준 20 10 3 3" xfId="8551"/>
    <cellStyle name="표준 20 10 4 2" xfId="8552"/>
    <cellStyle name="표준 20 11 4" xfId="8553"/>
    <cellStyle name="표준 20 11 2 2" xfId="8554"/>
    <cellStyle name="표준 20 11 3" xfId="8555"/>
    <cellStyle name="표준 20 12 4" xfId="8556"/>
    <cellStyle name="표준 20 12 2 2" xfId="8557"/>
    <cellStyle name="표준 20 12 3" xfId="8558"/>
    <cellStyle name="표준 20 13 3" xfId="8559"/>
    <cellStyle name="표준 20 13 2 2" xfId="8560"/>
    <cellStyle name="표준 20 14 2" xfId="8561"/>
    <cellStyle name="표준 20 15" xfId="8562"/>
    <cellStyle name="표준 20 16" xfId="8563"/>
    <cellStyle name="표준 20 17" xfId="8564"/>
    <cellStyle name="표준 20 2 2 3 2" xfId="8565"/>
    <cellStyle name="표준 20 2 2 4 2" xfId="8566"/>
    <cellStyle name="표준 20 2 2 5" xfId="8567"/>
    <cellStyle name="표준 20 2 3 8" xfId="8568"/>
    <cellStyle name="표준 20 2 3 2 4" xfId="8569"/>
    <cellStyle name="표준 20 2 3 2 2 2" xfId="8570"/>
    <cellStyle name="표준 20 2 3 2 3" xfId="8571"/>
    <cellStyle name="표준 20 2 3 3 4" xfId="8572"/>
    <cellStyle name="표준 20 2 3 3 2 2" xfId="8573"/>
    <cellStyle name="표준 20 2 3 3 3" xfId="8574"/>
    <cellStyle name="표준 20 2 3 4 4" xfId="8575"/>
    <cellStyle name="표준 20 2 3 4 2 2" xfId="8576"/>
    <cellStyle name="표준 20 2 3 4 3" xfId="8577"/>
    <cellStyle name="표준 20 2 3 5 2" xfId="8578"/>
    <cellStyle name="표준 20 2 3 6" xfId="8579"/>
    <cellStyle name="표준 20 2 3 7" xfId="8580"/>
    <cellStyle name="표준 20 2 4 7" xfId="8581"/>
    <cellStyle name="표준 20 2 4 2 4" xfId="8582"/>
    <cellStyle name="표준 20 2 4 2 2 2" xfId="8583"/>
    <cellStyle name="표준 20 2 4 2 3" xfId="8584"/>
    <cellStyle name="표준 20 2 4 3 4" xfId="8585"/>
    <cellStyle name="표준 20 2 4 3 2 2" xfId="8586"/>
    <cellStyle name="표준 20 2 4 3 3" xfId="8587"/>
    <cellStyle name="표준 20 2 4 4 2" xfId="8588"/>
    <cellStyle name="표준 20 2 4 5" xfId="8589"/>
    <cellStyle name="표준 20 2 4 6" xfId="8590"/>
    <cellStyle name="표준 20 2 5 4" xfId="8591"/>
    <cellStyle name="표준 20 2 5 2 2" xfId="8592"/>
    <cellStyle name="표준 20 2 5 3" xfId="8593"/>
    <cellStyle name="표준 20 2 6 4" xfId="8594"/>
    <cellStyle name="표준 20 2 6 2 2" xfId="8595"/>
    <cellStyle name="표준 20 2 6 3" xfId="8596"/>
    <cellStyle name="표준 20 2 7 2" xfId="8597"/>
    <cellStyle name="표준 20 2 8" xfId="8598"/>
    <cellStyle name="표준 20 2 9" xfId="8599"/>
    <cellStyle name="표준 20 3 8" xfId="8600"/>
    <cellStyle name="표준 20 3 2 4" xfId="8601"/>
    <cellStyle name="표준 20 3 2 2 2" xfId="8602"/>
    <cellStyle name="표준 20 3 2 3" xfId="8603"/>
    <cellStyle name="표준 20 3 3 4" xfId="8604"/>
    <cellStyle name="표준 20 3 3 2 2" xfId="8605"/>
    <cellStyle name="표준 20 3 3 3" xfId="8606"/>
    <cellStyle name="표준 20 3 4 4" xfId="8607"/>
    <cellStyle name="표준 20 3 4 2 2" xfId="8608"/>
    <cellStyle name="표준 20 3 4 3" xfId="8609"/>
    <cellStyle name="표준 20 3 5 2" xfId="8610"/>
    <cellStyle name="표준 20 3 6" xfId="8611"/>
    <cellStyle name="표준 20 3 7" xfId="8612"/>
    <cellStyle name="표준 20 4 8" xfId="8613"/>
    <cellStyle name="표준 20 4 2 4" xfId="8614"/>
    <cellStyle name="표준 20 4 2 2 2" xfId="8615"/>
    <cellStyle name="표준 20 4 2 3" xfId="8616"/>
    <cellStyle name="표준 20 4 3 4" xfId="8617"/>
    <cellStyle name="표준 20 4 3 2 2" xfId="8618"/>
    <cellStyle name="표준 20 4 3 3" xfId="8619"/>
    <cellStyle name="표준 20 4 4 4" xfId="8620"/>
    <cellStyle name="표준 20 4 4 2 2" xfId="8621"/>
    <cellStyle name="표준 20 4 4 3" xfId="8622"/>
    <cellStyle name="표준 20 4 5 2" xfId="8623"/>
    <cellStyle name="표준 20 4 6" xfId="8624"/>
    <cellStyle name="표준 20 4 7" xfId="8625"/>
    <cellStyle name="표준 20 5 8" xfId="8626"/>
    <cellStyle name="표준 20 5 2 4" xfId="8627"/>
    <cellStyle name="표준 20 5 2 2 2" xfId="8628"/>
    <cellStyle name="표준 20 5 2 3" xfId="8629"/>
    <cellStyle name="표준 20 5 3 4" xfId="8630"/>
    <cellStyle name="표준 20 5 3 2 2" xfId="8631"/>
    <cellStyle name="표준 20 5 3 3" xfId="8632"/>
    <cellStyle name="표준 20 5 4 4" xfId="8633"/>
    <cellStyle name="표준 20 5 4 2 2" xfId="8634"/>
    <cellStyle name="표준 20 5 4 3" xfId="8635"/>
    <cellStyle name="표준 20 5 5 2" xfId="8636"/>
    <cellStyle name="표준 20 5 6" xfId="8637"/>
    <cellStyle name="표준 20 5 7" xfId="8638"/>
    <cellStyle name="표준 20 6 8" xfId="8639"/>
    <cellStyle name="표준 20 6 2 5" xfId="8640"/>
    <cellStyle name="표준 20 6 2 2 4" xfId="8641"/>
    <cellStyle name="표준 20 6 2 2 2 2" xfId="8642"/>
    <cellStyle name="표준 20 6 2 2 3" xfId="8643"/>
    <cellStyle name="표준 20 6 2 3 2" xfId="8644"/>
    <cellStyle name="표준 20 6 2 4" xfId="8645"/>
    <cellStyle name="표준 20 6 3 4" xfId="8646"/>
    <cellStyle name="표준 20 6 3 2 2" xfId="8647"/>
    <cellStyle name="표준 20 6 3 3" xfId="8648"/>
    <cellStyle name="표준 20 6 4 4" xfId="8649"/>
    <cellStyle name="표준 20 6 4 2 2" xfId="8650"/>
    <cellStyle name="표준 20 6 4 3" xfId="8651"/>
    <cellStyle name="표준 20 6 5 2" xfId="8652"/>
    <cellStyle name="표준 20 6 6" xfId="8653"/>
    <cellStyle name="표준 20 6 7" xfId="8654"/>
    <cellStyle name="표준 20 7 8" xfId="8655"/>
    <cellStyle name="표준 20 7 2 4" xfId="8656"/>
    <cellStyle name="표준 20 7 2 2 2" xfId="8657"/>
    <cellStyle name="표준 20 7 2 3" xfId="8658"/>
    <cellStyle name="표준 20 7 3 4" xfId="8659"/>
    <cellStyle name="표준 20 7 3 2 2" xfId="8660"/>
    <cellStyle name="표준 20 7 3 3" xfId="8661"/>
    <cellStyle name="표준 20 7 4 4" xfId="8662"/>
    <cellStyle name="표준 20 7 4 2 2" xfId="8663"/>
    <cellStyle name="표준 20 7 4 3" xfId="8664"/>
    <cellStyle name="표준 20 7 5 2" xfId="8665"/>
    <cellStyle name="표준 20 7 6" xfId="8666"/>
    <cellStyle name="표준 20 7 7" xfId="8667"/>
    <cellStyle name="표준 20 8 8" xfId="8668"/>
    <cellStyle name="표준 20 8 2 4" xfId="8669"/>
    <cellStyle name="표준 20 8 2 2 2" xfId="8670"/>
    <cellStyle name="표준 20 8 2 3" xfId="8671"/>
    <cellStyle name="표준 20 8 3 4" xfId="8672"/>
    <cellStyle name="표준 20 8 3 2 2" xfId="8673"/>
    <cellStyle name="표준 20 8 3 3" xfId="8674"/>
    <cellStyle name="표준 20 8 4 4" xfId="8675"/>
    <cellStyle name="표준 20 8 4 2 2" xfId="8676"/>
    <cellStyle name="표준 20 8 4 3" xfId="8677"/>
    <cellStyle name="표준 20 8 5 2" xfId="8678"/>
    <cellStyle name="표준 20 8 6" xfId="8679"/>
    <cellStyle name="표준 20 8 7" xfId="8680"/>
    <cellStyle name="표준 20 9 8" xfId="8681"/>
    <cellStyle name="표준 20 9 2 4" xfId="8682"/>
    <cellStyle name="표준 20 9 2 2 2" xfId="8683"/>
    <cellStyle name="표준 20 9 2 3" xfId="8684"/>
    <cellStyle name="표준 20 9 3 4" xfId="8685"/>
    <cellStyle name="표준 20 9 3 2 2" xfId="8686"/>
    <cellStyle name="표준 20 9 3 3" xfId="8687"/>
    <cellStyle name="표준 20 9 4 4" xfId="8688"/>
    <cellStyle name="표준 20 9 4 2 2" xfId="8689"/>
    <cellStyle name="표준 20 9 4 3" xfId="8690"/>
    <cellStyle name="표준 20 9 5 2" xfId="8691"/>
    <cellStyle name="표준 20 9 6" xfId="8692"/>
    <cellStyle name="표준 20 9 7" xfId="8693"/>
    <cellStyle name="표준 21 11" xfId="8694"/>
    <cellStyle name="표준 21 10" xfId="8695"/>
    <cellStyle name="표준 21 2 9" xfId="8696"/>
    <cellStyle name="표준 21 2 2 8" xfId="8697"/>
    <cellStyle name="표준 21 2 2 2 5" xfId="8698"/>
    <cellStyle name="표준 21 2 2 2 2 3" xfId="8699"/>
    <cellStyle name="표준 21 2 2 2 3 3" xfId="8700"/>
    <cellStyle name="표준 21 2 2 2 4 2" xfId="8701"/>
    <cellStyle name="표준 21 2 2 3 5" xfId="8702"/>
    <cellStyle name="표준 21 2 2 3 2 4" xfId="8703"/>
    <cellStyle name="표준 21 2 2 3 2 2 2" xfId="8704"/>
    <cellStyle name="표준 21 2 2 3 2 3" xfId="8705"/>
    <cellStyle name="표준 21 2 2 3 3 2" xfId="8706"/>
    <cellStyle name="표준 21 2 2 3 4" xfId="8707"/>
    <cellStyle name="표준 21 2 2 4 4" xfId="8708"/>
    <cellStyle name="표준 21 2 2 4 2 2" xfId="8709"/>
    <cellStyle name="표준 21 2 2 4 3" xfId="8710"/>
    <cellStyle name="표준 21 2 2 5 4" xfId="8711"/>
    <cellStyle name="표준 21 2 2 5 2 2" xfId="8712"/>
    <cellStyle name="표준 21 2 2 5 3" xfId="8713"/>
    <cellStyle name="표준 21 2 2 6 2" xfId="8714"/>
    <cellStyle name="표준 21 2 2 7" xfId="8715"/>
    <cellStyle name="표준 21 2 3 5" xfId="8716"/>
    <cellStyle name="표준 21 2 3 2 4" xfId="8717"/>
    <cellStyle name="표준 21 2 3 2 2 2" xfId="8718"/>
    <cellStyle name="표준 21 2 3 2 3" xfId="8719"/>
    <cellStyle name="표준 21 2 3 3 2" xfId="8720"/>
    <cellStyle name="표준 21 2 3 4" xfId="8721"/>
    <cellStyle name="표준 21 2 4 4" xfId="8722"/>
    <cellStyle name="표준 21 2 4 2 2" xfId="8723"/>
    <cellStyle name="표준 21 2 4 3" xfId="8724"/>
    <cellStyle name="표준 21 2 5 4" xfId="8725"/>
    <cellStyle name="표준 21 2 5 2 2" xfId="8726"/>
    <cellStyle name="표준 21 2 5 3" xfId="8727"/>
    <cellStyle name="표준 21 2 6 2" xfId="8728"/>
    <cellStyle name="표준 21 2 7" xfId="8729"/>
    <cellStyle name="표준 21 2 8" xfId="8730"/>
    <cellStyle name="표준 21 3 8" xfId="8731"/>
    <cellStyle name="표준 21 3 2 4" xfId="8732"/>
    <cellStyle name="표준 21 3 2 2 2" xfId="8733"/>
    <cellStyle name="표준 21 3 2 3" xfId="8734"/>
    <cellStyle name="표준 21 3 3 4" xfId="8735"/>
    <cellStyle name="표준 21 3 3 2 2" xfId="8736"/>
    <cellStyle name="표준 21 3 3 3" xfId="8737"/>
    <cellStyle name="표준 21 3 4 4" xfId="8738"/>
    <cellStyle name="표준 21 3 4 2 2" xfId="8739"/>
    <cellStyle name="표준 21 3 4 3" xfId="8740"/>
    <cellStyle name="표준 21 3 5 2" xfId="8741"/>
    <cellStyle name="표준 21 3 6" xfId="8742"/>
    <cellStyle name="표준 21 3 7" xfId="8743"/>
    <cellStyle name="표준 21 4 8" xfId="8744"/>
    <cellStyle name="표준 21 4 2 4" xfId="8745"/>
    <cellStyle name="표준 21 4 2 2 2" xfId="8746"/>
    <cellStyle name="표준 21 4 2 3" xfId="8747"/>
    <cellStyle name="표준 21 4 3 4" xfId="8748"/>
    <cellStyle name="표준 21 4 3 2 2" xfId="8749"/>
    <cellStyle name="표준 21 4 3 3" xfId="8750"/>
    <cellStyle name="표준 21 4 4 4" xfId="8751"/>
    <cellStyle name="표준 21 4 4 2 2" xfId="8752"/>
    <cellStyle name="표준 21 4 4 3" xfId="8753"/>
    <cellStyle name="표준 21 4 5 2" xfId="8754"/>
    <cellStyle name="표준 21 4 6" xfId="8755"/>
    <cellStyle name="표준 21 4 7" xfId="8756"/>
    <cellStyle name="표준 21 5 5" xfId="8757"/>
    <cellStyle name="표준 21 5 2 3" xfId="8758"/>
    <cellStyle name="표준 21 5 2 2 2" xfId="8759"/>
    <cellStyle name="표준 21 5 3 2" xfId="8760"/>
    <cellStyle name="표준 21 5 4 2" xfId="8761"/>
    <cellStyle name="표준 21 6 4" xfId="8762"/>
    <cellStyle name="표준 21 6 2 2" xfId="8763"/>
    <cellStyle name="표준 21 6 3" xfId="8764"/>
    <cellStyle name="표준 21 7 4" xfId="8765"/>
    <cellStyle name="표준 21 7 2 2" xfId="8766"/>
    <cellStyle name="표준 21 7 3" xfId="8767"/>
    <cellStyle name="표준 21 8 2" xfId="8768"/>
    <cellStyle name="표준 21 9" xfId="8769"/>
    <cellStyle name="표준 22 3 2" xfId="8770"/>
    <cellStyle name="표준 22 4 2" xfId="8771"/>
    <cellStyle name="표준 22 5" xfId="8772"/>
    <cellStyle name="표준 23 9" xfId="8773"/>
    <cellStyle name="표준 23 2 8" xfId="8774"/>
    <cellStyle name="표준 23 2 2 5" xfId="8775"/>
    <cellStyle name="표준 23 2 2 2 4" xfId="8776"/>
    <cellStyle name="표준 23 2 2 2 2 2" xfId="8777"/>
    <cellStyle name="표준 23 2 2 2 3" xfId="8778"/>
    <cellStyle name="표준 23 2 2 3 2" xfId="8779"/>
    <cellStyle name="표준 23 2 2 4" xfId="8780"/>
    <cellStyle name="표준 23 2 3 4" xfId="8781"/>
    <cellStyle name="표준 23 2 3 2 2" xfId="8782"/>
    <cellStyle name="표준 23 2 3 3" xfId="8783"/>
    <cellStyle name="표준 23 2 4 4" xfId="8784"/>
    <cellStyle name="표준 23 2 4 2 2" xfId="8785"/>
    <cellStyle name="표준 23 2 4 3" xfId="8786"/>
    <cellStyle name="표준 23 2 5 2" xfId="8787"/>
    <cellStyle name="표준 23 2 6" xfId="8788"/>
    <cellStyle name="표준 23 2 7" xfId="8789"/>
    <cellStyle name="표준 23 3 6" xfId="8790"/>
    <cellStyle name="표준 23 3 2 4" xfId="8791"/>
    <cellStyle name="표준 23 3 2 2 2" xfId="8792"/>
    <cellStyle name="표준 23 3 2 3" xfId="8793"/>
    <cellStyle name="표준 23 3 3 3" xfId="8794"/>
    <cellStyle name="표준 23 3 3 2 2" xfId="8795"/>
    <cellStyle name="표준 23 3 4 2" xfId="8796"/>
    <cellStyle name="표준 23 3 5 2" xfId="8797"/>
    <cellStyle name="표준 23 4 5" xfId="8798"/>
    <cellStyle name="표준 23 4 2 4" xfId="8799"/>
    <cellStyle name="표준 23 4 3 3" xfId="8800"/>
    <cellStyle name="표준 23 4 4 2" xfId="8801"/>
    <cellStyle name="표준 23 5 4" xfId="8802"/>
    <cellStyle name="표준 23 5 2 2" xfId="8803"/>
    <cellStyle name="표준 23 5 3" xfId="8804"/>
    <cellStyle name="표준 23 6 2" xfId="8805"/>
    <cellStyle name="표준 23 7" xfId="8806"/>
    <cellStyle name="표준 23 8" xfId="8807"/>
    <cellStyle name="표준 24 10 4" xfId="8808"/>
    <cellStyle name="표준 24 10 2 2" xfId="8809"/>
    <cellStyle name="표준 24 10 3" xfId="8810"/>
    <cellStyle name="표준 24 11 2" xfId="8811"/>
    <cellStyle name="표준 24 12" xfId="8812"/>
    <cellStyle name="표준 24 2 10 2" xfId="8813"/>
    <cellStyle name="표준 24 2 11" xfId="8814"/>
    <cellStyle name="표준 24 2 12" xfId="8815"/>
    <cellStyle name="표준 24 2 2 8" xfId="8816"/>
    <cellStyle name="표준 24 2 2 2 4" xfId="8817"/>
    <cellStyle name="표준 24 2 2 2 2 2" xfId="8818"/>
    <cellStyle name="표준 24 2 2 2 3" xfId="8819"/>
    <cellStyle name="표준 24 2 2 3 4" xfId="8820"/>
    <cellStyle name="표준 24 2 2 3 2 2" xfId="8821"/>
    <cellStyle name="표준 24 2 2 3 3" xfId="8822"/>
    <cellStyle name="표준 24 2 2 4 4" xfId="8823"/>
    <cellStyle name="표준 24 2 2 4 2 2" xfId="8824"/>
    <cellStyle name="표준 24 2 2 4 3" xfId="8825"/>
    <cellStyle name="표준 24 2 2 5 2" xfId="8826"/>
    <cellStyle name="표준 24 2 2 6" xfId="8827"/>
    <cellStyle name="표준 24 2 2 7" xfId="8828"/>
    <cellStyle name="표준 24 2 3 3 2" xfId="8829"/>
    <cellStyle name="표준 24 2 3 4 2" xfId="8830"/>
    <cellStyle name="표준 24 2 3 5" xfId="8831"/>
    <cellStyle name="표준 24 2 4 3 2" xfId="8832"/>
    <cellStyle name="표준 24 2 4 4 2" xfId="8833"/>
    <cellStyle name="표준 24 2 4 5" xfId="8834"/>
    <cellStyle name="표준 24 2 5 8" xfId="8835"/>
    <cellStyle name="표준 24 2 5 2 4" xfId="8836"/>
    <cellStyle name="표준 24 2 5 2 2 2" xfId="8837"/>
    <cellStyle name="표준 24 2 5 2 3" xfId="8838"/>
    <cellStyle name="표준 24 2 5 3 4" xfId="8839"/>
    <cellStyle name="표준 24 2 5 3 2 2" xfId="8840"/>
    <cellStyle name="표준 24 2 5 3 3" xfId="8841"/>
    <cellStyle name="표준 24 2 5 4 4" xfId="8842"/>
    <cellStyle name="표준 24 2 5 4 2 2" xfId="8843"/>
    <cellStyle name="표준 24 2 5 4 3" xfId="8844"/>
    <cellStyle name="표준 24 2 5 5 2" xfId="8845"/>
    <cellStyle name="표준 24 2 5 6" xfId="8846"/>
    <cellStyle name="표준 24 2 5 7" xfId="8847"/>
    <cellStyle name="표준 24 2 6 8" xfId="8848"/>
    <cellStyle name="표준 24 2 6 2 4" xfId="8849"/>
    <cellStyle name="표준 24 2 6 2 2 2" xfId="8850"/>
    <cellStyle name="표준 24 2 6 2 3" xfId="8851"/>
    <cellStyle name="표준 24 2 6 3 4" xfId="8852"/>
    <cellStyle name="표준 24 2 6 3 2 2" xfId="8853"/>
    <cellStyle name="표준 24 2 6 3 3" xfId="8854"/>
    <cellStyle name="표준 24 2 6 4 4" xfId="8855"/>
    <cellStyle name="표준 24 2 6 4 2 2" xfId="8856"/>
    <cellStyle name="표준 24 2 6 4 3" xfId="8857"/>
    <cellStyle name="표준 24 2 6 5 2" xfId="8858"/>
    <cellStyle name="표준 24 2 6 6" xfId="8859"/>
    <cellStyle name="표준 24 2 6 7" xfId="8860"/>
    <cellStyle name="표준 24 2 7 4" xfId="8861"/>
    <cellStyle name="표준 24 2 7 2 2" xfId="8862"/>
    <cellStyle name="표준 24 2 7 3" xfId="8863"/>
    <cellStyle name="표준 24 2 8 4" xfId="8864"/>
    <cellStyle name="표준 24 2 8 2 2" xfId="8865"/>
    <cellStyle name="표준 24 2 8 3" xfId="8866"/>
    <cellStyle name="표준 24 2 9 4" xfId="8867"/>
    <cellStyle name="표준 24 2 9 2 2" xfId="8868"/>
    <cellStyle name="표준 24 2 9 3" xfId="8869"/>
    <cellStyle name="표준 24 3 2 2 4" xfId="8870"/>
    <cellStyle name="표준 24 3 2 2 2 2" xfId="8871"/>
    <cellStyle name="표준 24 3 2 2 3" xfId="8872"/>
    <cellStyle name="표준 24 3 3 4" xfId="8873"/>
    <cellStyle name="표준 24 3 3 2 2" xfId="8874"/>
    <cellStyle name="표준 24 3 3 3" xfId="8875"/>
    <cellStyle name="표준 24 3 4 4" xfId="8876"/>
    <cellStyle name="표준 24 3 4 2 2" xfId="8877"/>
    <cellStyle name="표준 24 3 4 3" xfId="8878"/>
    <cellStyle name="표준 24 3 5 2" xfId="8879"/>
    <cellStyle name="표준 24 3 6" xfId="8880"/>
    <cellStyle name="표준 24 3 7" xfId="8881"/>
    <cellStyle name="표준 24 4 3 2" xfId="8882"/>
    <cellStyle name="표준 24 4 4 2" xfId="8883"/>
    <cellStyle name="표준 24 4 5" xfId="8884"/>
    <cellStyle name="표준 24 5 3 2" xfId="8885"/>
    <cellStyle name="표준 24 5 4 2" xfId="8886"/>
    <cellStyle name="표준 24 5 5" xfId="8887"/>
    <cellStyle name="표준 24 6 3 2" xfId="8888"/>
    <cellStyle name="표준 24 6 4 2" xfId="8889"/>
    <cellStyle name="표준 24 6 5" xfId="8890"/>
    <cellStyle name="표준 24 7 3 2" xfId="8891"/>
    <cellStyle name="표준 24 7 4 2" xfId="8892"/>
    <cellStyle name="표준 24 7 5" xfId="8893"/>
    <cellStyle name="표준 24 8 2 4" xfId="8894"/>
    <cellStyle name="표준 24 8 2 2 2" xfId="8895"/>
    <cellStyle name="표준 24 8 2 3" xfId="8896"/>
    <cellStyle name="표준 24 8 3 2" xfId="8897"/>
    <cellStyle name="표준 24 8 4 2" xfId="8898"/>
    <cellStyle name="표준 24 8 5" xfId="8899"/>
    <cellStyle name="표준 24 9 3" xfId="8900"/>
    <cellStyle name="표준 25 2 8" xfId="8901"/>
    <cellStyle name="표준 25 2 2 4" xfId="8902"/>
    <cellStyle name="표준 25 2 2 2 2" xfId="8903"/>
    <cellStyle name="표준 25 2 2 3" xfId="8904"/>
    <cellStyle name="표준 25 2 3 4" xfId="8905"/>
    <cellStyle name="표준 25 2 3 2 2" xfId="8906"/>
    <cellStyle name="표준 25 2 3 3" xfId="8907"/>
    <cellStyle name="표준 25 2 4 4" xfId="8908"/>
    <cellStyle name="표준 25 2 4 2 2" xfId="8909"/>
    <cellStyle name="표준 25 2 4 3" xfId="8910"/>
    <cellStyle name="표준 25 2 5 2" xfId="8911"/>
    <cellStyle name="표준 25 2 6" xfId="8912"/>
    <cellStyle name="표준 25 2 7" xfId="8913"/>
    <cellStyle name="표준 25 3 2 4" xfId="8914"/>
    <cellStyle name="표준 25 3 2 2 2" xfId="8915"/>
    <cellStyle name="표준 25 3 2 3" xfId="8916"/>
    <cellStyle name="표준 25 3 3" xfId="8917"/>
    <cellStyle name="표준 25 4 4" xfId="8918"/>
    <cellStyle name="표준 25 4 2 2" xfId="8919"/>
    <cellStyle name="표준 25 4 3" xfId="8920"/>
    <cellStyle name="표준 25 5 4" xfId="8921"/>
    <cellStyle name="표준 25 5 2 2" xfId="8922"/>
    <cellStyle name="표준 25 5 3" xfId="8923"/>
    <cellStyle name="표준 25 6 2" xfId="8924"/>
    <cellStyle name="표준 25 7" xfId="8925"/>
    <cellStyle name="표준 25 8" xfId="8926"/>
    <cellStyle name="표준 26 10 4" xfId="8927"/>
    <cellStyle name="표준 26 10 2 2" xfId="8928"/>
    <cellStyle name="표준 26 10 3" xfId="8929"/>
    <cellStyle name="표준 26 11 4" xfId="8930"/>
    <cellStyle name="표준 26 11 2 2" xfId="8931"/>
    <cellStyle name="표준 26 11 3" xfId="8932"/>
    <cellStyle name="표준 26 12 3" xfId="8933"/>
    <cellStyle name="표준 26 12 2" xfId="8934"/>
    <cellStyle name="표준 26 13" xfId="8935"/>
    <cellStyle name="표준 26 14" xfId="8936"/>
    <cellStyle name="표준 26 2 10" xfId="8937"/>
    <cellStyle name="표준 26 2 2 3 2" xfId="8938"/>
    <cellStyle name="표준 26 2 2 4 2" xfId="8939"/>
    <cellStyle name="표준 26 2 2 5" xfId="8940"/>
    <cellStyle name="표준 26 2 3 8" xfId="8941"/>
    <cellStyle name="표준 26 2 3 2 4" xfId="8942"/>
    <cellStyle name="표준 26 2 3 2 2 2" xfId="8943"/>
    <cellStyle name="표준 26 2 3 2 3" xfId="8944"/>
    <cellStyle name="표준 26 2 3 3 4" xfId="8945"/>
    <cellStyle name="표준 26 2 3 3 2 2" xfId="8946"/>
    <cellStyle name="표준 26 2 3 3 3" xfId="8947"/>
    <cellStyle name="표준 26 2 3 4 4" xfId="8948"/>
    <cellStyle name="표준 26 2 3 4 2 2" xfId="8949"/>
    <cellStyle name="표준 26 2 3 4 3" xfId="8950"/>
    <cellStyle name="표준 26 2 3 5 2" xfId="8951"/>
    <cellStyle name="표준 26 2 3 6" xfId="8952"/>
    <cellStyle name="표준 26 2 3 7" xfId="8953"/>
    <cellStyle name="표준 26 2 4 8" xfId="8954"/>
    <cellStyle name="표준 26 2 4 2 4" xfId="8955"/>
    <cellStyle name="표준 26 2 4 2 2 2" xfId="8956"/>
    <cellStyle name="표준 26 2 4 2 3" xfId="8957"/>
    <cellStyle name="표준 26 2 4 3 4" xfId="8958"/>
    <cellStyle name="표준 26 2 4 3 2 2" xfId="8959"/>
    <cellStyle name="표준 26 2 4 3 3" xfId="8960"/>
    <cellStyle name="표준 26 2 4 4 4" xfId="8961"/>
    <cellStyle name="표준 26 2 4 4 2 2" xfId="8962"/>
    <cellStyle name="표준 26 2 4 4 3" xfId="8963"/>
    <cellStyle name="표준 26 2 4 5 2" xfId="8964"/>
    <cellStyle name="표준 26 2 4 6" xfId="8965"/>
    <cellStyle name="표준 26 2 4 7" xfId="8966"/>
    <cellStyle name="표준 26 2 5 4" xfId="8967"/>
    <cellStyle name="표준 26 2 5 2 2" xfId="8968"/>
    <cellStyle name="표준 26 2 5 3" xfId="8969"/>
    <cellStyle name="표준 26 2 6 4" xfId="8970"/>
    <cellStyle name="표준 26 2 6 2 2" xfId="8971"/>
    <cellStyle name="표준 26 2 6 3" xfId="8972"/>
    <cellStyle name="표준 26 2 7 4" xfId="8973"/>
    <cellStyle name="표준 26 2 7 2 2" xfId="8974"/>
    <cellStyle name="표준 26 2 7 3" xfId="8975"/>
    <cellStyle name="표준 26 2 8 2" xfId="8976"/>
    <cellStyle name="표준 26 2 9" xfId="8977"/>
    <cellStyle name="표준 26 3 8" xfId="8978"/>
    <cellStyle name="표준 26 3 2 4" xfId="8979"/>
    <cellStyle name="표준 26 3 2 2 2" xfId="8980"/>
    <cellStyle name="표준 26 3 2 3" xfId="8981"/>
    <cellStyle name="표준 26 3 3 4" xfId="8982"/>
    <cellStyle name="표준 26 3 3 2 2" xfId="8983"/>
    <cellStyle name="표준 26 3 3 3" xfId="8984"/>
    <cellStyle name="표준 26 3 4 4" xfId="8985"/>
    <cellStyle name="표준 26 3 4 2 2" xfId="8986"/>
    <cellStyle name="표준 26 3 4 3" xfId="8987"/>
    <cellStyle name="표준 26 3 5 2" xfId="8988"/>
    <cellStyle name="표준 26 3 6" xfId="8989"/>
    <cellStyle name="표준 26 3 7" xfId="8990"/>
    <cellStyle name="표준 26 4 9" xfId="8991"/>
    <cellStyle name="표준 26 4 2 8" xfId="8992"/>
    <cellStyle name="표준 26 4 2 2 4" xfId="8993"/>
    <cellStyle name="표준 26 4 2 2 2 2" xfId="8994"/>
    <cellStyle name="표준 26 4 2 2 3" xfId="8995"/>
    <cellStyle name="표준 26 4 2 3 4" xfId="8996"/>
    <cellStyle name="표준 26 4 2 3 2 2" xfId="8997"/>
    <cellStyle name="표준 26 4 2 3 3" xfId="8998"/>
    <cellStyle name="표준 26 4 2 4 4" xfId="8999"/>
    <cellStyle name="표준 26 4 2 4 2 2" xfId="9000"/>
    <cellStyle name="표준 26 4 2 4 3" xfId="9001"/>
    <cellStyle name="표준 26 4 2 5 2" xfId="9002"/>
    <cellStyle name="표준 26 4 2 6" xfId="9003"/>
    <cellStyle name="표준 26 4 2 7" xfId="9004"/>
    <cellStyle name="표준 26 4 3 4" xfId="9005"/>
    <cellStyle name="표준 26 4 3 2 2" xfId="9006"/>
    <cellStyle name="표준 26 4 3 3" xfId="9007"/>
    <cellStyle name="표준 26 4 4 4" xfId="9008"/>
    <cellStyle name="표준 26 4 4 2 2" xfId="9009"/>
    <cellStyle name="표준 26 4 4 3" xfId="9010"/>
    <cellStyle name="표준 26 4 5 4" xfId="9011"/>
    <cellStyle name="표준 26 4 5 2 2" xfId="9012"/>
    <cellStyle name="표준 26 4 5 3" xfId="9013"/>
    <cellStyle name="표준 26 4 6 2" xfId="9014"/>
    <cellStyle name="표준 26 4 7" xfId="9015"/>
    <cellStyle name="표준 26 4 8" xfId="9016"/>
    <cellStyle name="표준 26 5 8" xfId="9017"/>
    <cellStyle name="표준 26 5 2 4" xfId="9018"/>
    <cellStyle name="표준 26 5 2 2 2" xfId="9019"/>
    <cellStyle name="표준 26 5 2 3" xfId="9020"/>
    <cellStyle name="표준 26 5 3 4" xfId="9021"/>
    <cellStyle name="표준 26 5 3 2 2" xfId="9022"/>
    <cellStyle name="표준 26 5 3 3" xfId="9023"/>
    <cellStyle name="표준 26 5 4 4" xfId="9024"/>
    <cellStyle name="표준 26 5 4 2 2" xfId="9025"/>
    <cellStyle name="표준 26 5 4 3" xfId="9026"/>
    <cellStyle name="표준 26 5 5 2" xfId="9027"/>
    <cellStyle name="표준 26 5 6" xfId="9028"/>
    <cellStyle name="표준 26 5 7" xfId="9029"/>
    <cellStyle name="표준 26 6 8" xfId="9030"/>
    <cellStyle name="표준 26 6 2 4" xfId="9031"/>
    <cellStyle name="표준 26 6 2 2 2" xfId="9032"/>
    <cellStyle name="표준 26 6 2 3" xfId="9033"/>
    <cellStyle name="표준 26 6 3 4" xfId="9034"/>
    <cellStyle name="표준 26 6 3 2 2" xfId="9035"/>
    <cellStyle name="표준 26 6 3 3" xfId="9036"/>
    <cellStyle name="표준 26 6 4 4" xfId="9037"/>
    <cellStyle name="표준 26 6 4 2 2" xfId="9038"/>
    <cellStyle name="표준 26 6 4 3" xfId="9039"/>
    <cellStyle name="표준 26 6 5 2" xfId="9040"/>
    <cellStyle name="표준 26 6 6" xfId="9041"/>
    <cellStyle name="표준 26 6 7" xfId="9042"/>
    <cellStyle name="표준 26 7 8" xfId="9043"/>
    <cellStyle name="표준 26 7 2 5" xfId="9044"/>
    <cellStyle name="표준 26 7 2 2 4" xfId="9045"/>
    <cellStyle name="표준 26 7 2 2 2 2" xfId="9046"/>
    <cellStyle name="표준 26 7 2 2 3" xfId="9047"/>
    <cellStyle name="표준 26 7 2 3 2" xfId="9048"/>
    <cellStyle name="표준 26 7 2 4" xfId="9049"/>
    <cellStyle name="표준 26 7 3 4" xfId="9050"/>
    <cellStyle name="표준 26 7 3 2 2" xfId="9051"/>
    <cellStyle name="표준 26 7 3 3" xfId="9052"/>
    <cellStyle name="표준 26 7 4 4" xfId="9053"/>
    <cellStyle name="표준 26 7 4 2 2" xfId="9054"/>
    <cellStyle name="표준 26 7 4 3" xfId="9055"/>
    <cellStyle name="표준 26 7 5 2" xfId="9056"/>
    <cellStyle name="표준 26 7 6" xfId="9057"/>
    <cellStyle name="표준 26 7 7" xfId="9058"/>
    <cellStyle name="표준 26 8 8" xfId="9059"/>
    <cellStyle name="표준 26 8 2 4" xfId="9060"/>
    <cellStyle name="표준 26 8 2 2 2" xfId="9061"/>
    <cellStyle name="표준 26 8 2 3" xfId="9062"/>
    <cellStyle name="표준 26 8 3 4" xfId="9063"/>
    <cellStyle name="표준 26 8 3 2 2" xfId="9064"/>
    <cellStyle name="표준 26 8 3 3" xfId="9065"/>
    <cellStyle name="표준 26 8 4 4" xfId="9066"/>
    <cellStyle name="표준 26 8 4 2 2" xfId="9067"/>
    <cellStyle name="표준 26 8 4 3" xfId="9068"/>
    <cellStyle name="표준 26 8 5 2" xfId="9069"/>
    <cellStyle name="표준 26 8 6" xfId="9070"/>
    <cellStyle name="표준 26 8 7" xfId="9071"/>
    <cellStyle name="표준 26 9 4" xfId="9072"/>
    <cellStyle name="표준 26 9 2 2" xfId="9073"/>
    <cellStyle name="표준 26 9 3" xfId="9074"/>
    <cellStyle name="표준 27 10 4" xfId="9075"/>
    <cellStyle name="표준 27 10 2 2" xfId="9076"/>
    <cellStyle name="표준 27 10 3" xfId="9077"/>
    <cellStyle name="표준 27 11 3" xfId="9078"/>
    <cellStyle name="표준 27 11 2" xfId="9079"/>
    <cellStyle name="표준 27 12" xfId="9080"/>
    <cellStyle name="표준 27 13" xfId="9081"/>
    <cellStyle name="표준 27 2 8" xfId="9082"/>
    <cellStyle name="표준 27 2 2 4" xfId="9083"/>
    <cellStyle name="표준 27 2 2 2 2" xfId="9084"/>
    <cellStyle name="표준 27 2 2 3" xfId="9085"/>
    <cellStyle name="표준 27 2 3 4" xfId="9086"/>
    <cellStyle name="표준 27 2 3 2 2" xfId="9087"/>
    <cellStyle name="표준 27 2 3 3" xfId="9088"/>
    <cellStyle name="표준 27 2 4 4" xfId="9089"/>
    <cellStyle name="표준 27 2 4 2 2" xfId="9090"/>
    <cellStyle name="표준 27 2 4 3" xfId="9091"/>
    <cellStyle name="표준 27 2 5 2" xfId="9092"/>
    <cellStyle name="표준 27 2 6" xfId="9093"/>
    <cellStyle name="표준 27 2 7" xfId="9094"/>
    <cellStyle name="표준 27 3 8" xfId="9095"/>
    <cellStyle name="표준 27 3 2 4" xfId="9096"/>
    <cellStyle name="표준 27 3 2 2 2" xfId="9097"/>
    <cellStyle name="표준 27 3 2 3" xfId="9098"/>
    <cellStyle name="표준 27 3 3 4" xfId="9099"/>
    <cellStyle name="표준 27 3 3 2 2" xfId="9100"/>
    <cellStyle name="표준 27 3 3 3" xfId="9101"/>
    <cellStyle name="표준 27 3 4 4" xfId="9102"/>
    <cellStyle name="표준 27 3 4 2 2" xfId="9103"/>
    <cellStyle name="표준 27 3 4 3" xfId="9104"/>
    <cellStyle name="표준 27 3 5 2" xfId="9105"/>
    <cellStyle name="표준 27 3 6" xfId="9106"/>
    <cellStyle name="표준 27 3 7" xfId="9107"/>
    <cellStyle name="표준 27 4 8" xfId="9108"/>
    <cellStyle name="표준 27 4 2 4" xfId="9109"/>
    <cellStyle name="표준 27 4 2 2 2" xfId="9110"/>
    <cellStyle name="표준 27 4 2 3" xfId="9111"/>
    <cellStyle name="표준 27 4 3 4" xfId="9112"/>
    <cellStyle name="표준 27 4 3 2 2" xfId="9113"/>
    <cellStyle name="표준 27 4 3 3" xfId="9114"/>
    <cellStyle name="표준 27 4 4 4" xfId="9115"/>
    <cellStyle name="표준 27 4 4 2 2" xfId="9116"/>
    <cellStyle name="표준 27 4 4 3" xfId="9117"/>
    <cellStyle name="표준 27 4 5 2" xfId="9118"/>
    <cellStyle name="표준 27 4 6" xfId="9119"/>
    <cellStyle name="표준 27 4 7" xfId="9120"/>
    <cellStyle name="표준 27 5 8" xfId="9121"/>
    <cellStyle name="표준 27 5 2 4" xfId="9122"/>
    <cellStyle name="표준 27 5 2 2 2" xfId="9123"/>
    <cellStyle name="표준 27 5 2 3" xfId="9124"/>
    <cellStyle name="표준 27 5 3 4" xfId="9125"/>
    <cellStyle name="표준 27 5 3 2 2" xfId="9126"/>
    <cellStyle name="표준 27 5 3 3" xfId="9127"/>
    <cellStyle name="표준 27 5 4 4" xfId="9128"/>
    <cellStyle name="표준 27 5 4 2 2" xfId="9129"/>
    <cellStyle name="표준 27 5 4 3" xfId="9130"/>
    <cellStyle name="표준 27 5 5 2" xfId="9131"/>
    <cellStyle name="표준 27 5 6" xfId="9132"/>
    <cellStyle name="표준 27 5 7" xfId="9133"/>
    <cellStyle name="표준 27 6 8" xfId="9134"/>
    <cellStyle name="표준 27 6 2 4 2" xfId="9135"/>
    <cellStyle name="표준 27 6 2 2 3" xfId="9136"/>
    <cellStyle name="표준 27 6 3 4" xfId="9137"/>
    <cellStyle name="표준 27 6 3 2 2" xfId="9138"/>
    <cellStyle name="표준 27 6 3 3" xfId="9139"/>
    <cellStyle name="표준 27 6 4 4" xfId="9140"/>
    <cellStyle name="표준 27 6 4 2 2" xfId="9141"/>
    <cellStyle name="표준 27 6 4 3" xfId="9142"/>
    <cellStyle name="표준 27 6 5 2" xfId="9143"/>
    <cellStyle name="표준 27 6 6" xfId="9144"/>
    <cellStyle name="표준 27 6 7" xfId="9145"/>
    <cellStyle name="표준 27 7 3 2" xfId="9146"/>
    <cellStyle name="표준 27 7 4 2" xfId="9147"/>
    <cellStyle name="표준 27 7 5" xfId="9148"/>
    <cellStyle name="표준 27 8 4" xfId="9149"/>
    <cellStyle name="표준 27 8 2 2" xfId="9150"/>
    <cellStyle name="표준 27 8 3" xfId="9151"/>
    <cellStyle name="표준 27 9 4" xfId="9152"/>
    <cellStyle name="표준 27 9 2 2" xfId="9153"/>
    <cellStyle name="표준 27 9 3" xfId="9154"/>
    <cellStyle name="표준 28 2 8" xfId="9155"/>
    <cellStyle name="표준 28 2 2 4" xfId="9156"/>
    <cellStyle name="표준 28 2 2 2 2" xfId="9157"/>
    <cellStyle name="표준 28 2 2 3" xfId="9158"/>
    <cellStyle name="표준 28 2 3 4" xfId="9159"/>
    <cellStyle name="표준 28 2 3 2 2" xfId="9160"/>
    <cellStyle name="표준 28 2 3 3" xfId="9161"/>
    <cellStyle name="표준 28 2 4 4" xfId="9162"/>
    <cellStyle name="표준 28 2 4 2 2" xfId="9163"/>
    <cellStyle name="표준 28 2 4 3" xfId="9164"/>
    <cellStyle name="표준 28 2 5 2" xfId="9165"/>
    <cellStyle name="표준 28 2 6" xfId="9166"/>
    <cellStyle name="표준 28 2 7" xfId="9167"/>
    <cellStyle name="표준 28 3 4 2" xfId="9168"/>
    <cellStyle name="표준 28 3 5" xfId="9169"/>
    <cellStyle name="표준 28 4 10" xfId="9170"/>
    <cellStyle name="표준 28 4 2 3 2" xfId="9171"/>
    <cellStyle name="표준 28 4 2 4 2" xfId="9172"/>
    <cellStyle name="표준 28 4 2 5" xfId="9173"/>
    <cellStyle name="표준 28 4 3 8" xfId="9174"/>
    <cellStyle name="표준 28 4 3 2 4" xfId="9175"/>
    <cellStyle name="표준 28 4 3 2 2 2" xfId="9176"/>
    <cellStyle name="표준 28 4 3 2 3" xfId="9177"/>
    <cellStyle name="표준 28 4 3 3 4" xfId="9178"/>
    <cellStyle name="표준 28 4 3 3 2 2" xfId="9179"/>
    <cellStyle name="표준 28 4 3 3 3" xfId="9180"/>
    <cellStyle name="표준 28 4 3 4 4" xfId="9181"/>
    <cellStyle name="표준 28 4 3 4 2 2" xfId="9182"/>
    <cellStyle name="표준 28 4 3 4 3" xfId="9183"/>
    <cellStyle name="표준 28 4 3 5 2" xfId="9184"/>
    <cellStyle name="표준 28 4 3 6" xfId="9185"/>
    <cellStyle name="표준 28 4 3 7" xfId="9186"/>
    <cellStyle name="표준 28 4 4 8" xfId="9187"/>
    <cellStyle name="표준 28 4 4 2 4" xfId="9188"/>
    <cellStyle name="표준 28 4 4 2 2 2" xfId="9189"/>
    <cellStyle name="표준 28 4 4 2 3" xfId="9190"/>
    <cellStyle name="표준 28 4 4 3 4" xfId="9191"/>
    <cellStyle name="표준 28 4 4 3 2 2" xfId="9192"/>
    <cellStyle name="표준 28 4 4 3 3" xfId="9193"/>
    <cellStyle name="표준 28 4 4 4 4" xfId="9194"/>
    <cellStyle name="표준 28 4 4 4 2 2" xfId="9195"/>
    <cellStyle name="표준 28 4 4 4 3" xfId="9196"/>
    <cellStyle name="표준 28 4 4 5 2" xfId="9197"/>
    <cellStyle name="표준 28 4 4 6" xfId="9198"/>
    <cellStyle name="표준 28 4 4 7" xfId="9199"/>
    <cellStyle name="표준 28 4 5 4" xfId="9200"/>
    <cellStyle name="표준 28 4 5 2 2" xfId="9201"/>
    <cellStyle name="표준 28 4 5 3" xfId="9202"/>
    <cellStyle name="표준 28 4 6 4" xfId="9203"/>
    <cellStyle name="표준 28 4 6 2 2" xfId="9204"/>
    <cellStyle name="표준 28 4 6 3" xfId="9205"/>
    <cellStyle name="표준 28 4 7 4" xfId="9206"/>
    <cellStyle name="표준 28 4 7 2 2" xfId="9207"/>
    <cellStyle name="표준 28 4 7 3" xfId="9208"/>
    <cellStyle name="표준 28 4 8 2" xfId="9209"/>
    <cellStyle name="표준 28 4 9" xfId="9210"/>
    <cellStyle name="표준 28 5 3 2" xfId="9211"/>
    <cellStyle name="표준 28 5 4 2" xfId="9212"/>
    <cellStyle name="표준 28 5 5" xfId="9213"/>
    <cellStyle name="표준 28 7 2" xfId="9214"/>
    <cellStyle name="표준 28 8 2" xfId="9215"/>
    <cellStyle name="표준 28 9" xfId="9216"/>
    <cellStyle name="표준 29 10" xfId="9217"/>
    <cellStyle name="표준 29 2 3 2" xfId="9218"/>
    <cellStyle name="표준 29 2 4 2" xfId="9219"/>
    <cellStyle name="표준 29 2 5" xfId="9220"/>
    <cellStyle name="표준 29 3 8" xfId="9221"/>
    <cellStyle name="표준 29 3 2 4" xfId="9222"/>
    <cellStyle name="표준 29 3 2 2 2" xfId="9223"/>
    <cellStyle name="표준 29 3 2 3" xfId="9224"/>
    <cellStyle name="표준 29 3 3 4 2" xfId="9225"/>
    <cellStyle name="표준 29 3 3 2 3" xfId="9226"/>
    <cellStyle name="표준 29 3 3 3 3" xfId="9227"/>
    <cellStyle name="표준 29 3 4 4" xfId="9228"/>
    <cellStyle name="표준 29 3 4 2 2" xfId="9229"/>
    <cellStyle name="표준 29 3 4 3" xfId="9230"/>
    <cellStyle name="표준 29 3 5 2" xfId="9231"/>
    <cellStyle name="표준 29 3 6" xfId="9232"/>
    <cellStyle name="표준 29 3 7" xfId="9233"/>
    <cellStyle name="표준 29 4 10" xfId="9234"/>
    <cellStyle name="표준 29 4 2 8" xfId="9235"/>
    <cellStyle name="표준 29 4 2 2 4" xfId="9236"/>
    <cellStyle name="표준 29 4 2 2 2 2" xfId="9237"/>
    <cellStyle name="표준 29 4 2 2 3" xfId="9238"/>
    <cellStyle name="표준 29 4 2 3 4" xfId="9239"/>
    <cellStyle name="표준 29 4 2 3 2 2" xfId="9240"/>
    <cellStyle name="표준 29 4 2 3 3" xfId="9241"/>
    <cellStyle name="표준 29 4 2 4 4" xfId="9242"/>
    <cellStyle name="표준 29 4 2 4 2 2" xfId="9243"/>
    <cellStyle name="표준 29 4 2 4 3" xfId="9244"/>
    <cellStyle name="표준 29 4 2 5 2" xfId="9245"/>
    <cellStyle name="표준 29 4 2 6" xfId="9246"/>
    <cellStyle name="표준 29 4 2 7" xfId="9247"/>
    <cellStyle name="표준 29 4 3 8" xfId="9248"/>
    <cellStyle name="표준 29 4 3 2 4" xfId="9249"/>
    <cellStyle name="표준 29 4 3 2 2 2" xfId="9250"/>
    <cellStyle name="표준 29 4 3 2 3" xfId="9251"/>
    <cellStyle name="표준 29 4 3 3 4" xfId="9252"/>
    <cellStyle name="표준 29 4 3 3 2 2" xfId="9253"/>
    <cellStyle name="표준 29 4 3 3 3" xfId="9254"/>
    <cellStyle name="표준 29 4 3 4 4" xfId="9255"/>
    <cellStyle name="표준 29 4 3 4 2 2" xfId="9256"/>
    <cellStyle name="표준 29 4 3 4 3" xfId="9257"/>
    <cellStyle name="표준 29 4 3 5 2" xfId="9258"/>
    <cellStyle name="표준 29 4 3 6" xfId="9259"/>
    <cellStyle name="표준 29 4 3 7" xfId="9260"/>
    <cellStyle name="표준 29 4 4 3 2" xfId="9261"/>
    <cellStyle name="표준 29 4 4 4 2" xfId="9262"/>
    <cellStyle name="표준 29 4 4 5" xfId="9263"/>
    <cellStyle name="표준 29 4 5 4" xfId="9264"/>
    <cellStyle name="표준 29 4 5 2 2" xfId="9265"/>
    <cellStyle name="표준 29 4 5 3" xfId="9266"/>
    <cellStyle name="표준 29 4 6 4" xfId="9267"/>
    <cellStyle name="표준 29 4 6 2 2" xfId="9268"/>
    <cellStyle name="표준 29 4 6 3" xfId="9269"/>
    <cellStyle name="표준 29 4 7 4" xfId="9270"/>
    <cellStyle name="표준 29 4 7 2 2" xfId="9271"/>
    <cellStyle name="표준 29 4 7 3" xfId="9272"/>
    <cellStyle name="표준 29 4 8 2" xfId="9273"/>
    <cellStyle name="표준 29 4 9" xfId="9274"/>
    <cellStyle name="표준 29 5 4" xfId="9275"/>
    <cellStyle name="표준 29 5 2 2" xfId="9276"/>
    <cellStyle name="표준 29 5 3" xfId="9277"/>
    <cellStyle name="표준 29 6 4" xfId="9278"/>
    <cellStyle name="표준 29 6 2 2" xfId="9279"/>
    <cellStyle name="표준 29 6 3" xfId="9280"/>
    <cellStyle name="표준 29 7 4" xfId="9281"/>
    <cellStyle name="표준 29 7 2 2" xfId="9282"/>
    <cellStyle name="표준 29 7 3" xfId="9283"/>
    <cellStyle name="표준 29 8 2" xfId="9284"/>
    <cellStyle name="표준 29 9" xfId="9285"/>
    <cellStyle name="표준 3 10 3 3" xfId="9286"/>
    <cellStyle name="표준 3 11 4" xfId="9287"/>
    <cellStyle name="표준 3 11 2 2" xfId="9288"/>
    <cellStyle name="표준 3 11 3" xfId="9289"/>
    <cellStyle name="표준 3 12 2" xfId="9290"/>
    <cellStyle name="표준 3 13" xfId="9291"/>
    <cellStyle name="표준 3 14" xfId="9292"/>
    <cellStyle name="표준 3 15" xfId="9293"/>
    <cellStyle name="표준 3 2 10" xfId="9294"/>
    <cellStyle name="표준 3 2 11" xfId="9295"/>
    <cellStyle name="표준 3 2 2 2 6" xfId="9296"/>
    <cellStyle name="표준 3 2 2 2 2 2" xfId="9297"/>
    <cellStyle name="표준 3 2 2 2 3 3" xfId="9298"/>
    <cellStyle name="표준 3 2 2 2 3 2" xfId="9299"/>
    <cellStyle name="표준 3 2 2 2 4 3" xfId="9300"/>
    <cellStyle name="표준 3 2 2 2 4 2" xfId="9301"/>
    <cellStyle name="표준 3 2 2 2 5" xfId="9302"/>
    <cellStyle name="표준 3 2 2 3 3 2" xfId="9303"/>
    <cellStyle name="표준 3 2 2 3 4 2" xfId="9304"/>
    <cellStyle name="표준 3 2 2 3 5" xfId="9305"/>
    <cellStyle name="표준 3 2 2 4 8" xfId="9306"/>
    <cellStyle name="표준 3 2 2 4 2 4" xfId="9307"/>
    <cellStyle name="표준 3 2 2 4 2 2 2" xfId="9308"/>
    <cellStyle name="표준 3 2 2 4 2 3" xfId="9309"/>
    <cellStyle name="표준 3 2 2 4 3 4" xfId="9310"/>
    <cellStyle name="표준 3 2 2 4 3 2 2" xfId="9311"/>
    <cellStyle name="표준 3 2 2 4 3 3" xfId="9312"/>
    <cellStyle name="표준 3 2 2 4 4 4" xfId="9313"/>
    <cellStyle name="표준 3 2 2 4 4 2 2" xfId="9314"/>
    <cellStyle name="표준 3 2 2 4 4 3" xfId="9315"/>
    <cellStyle name="표준 3 2 2 4 5 2" xfId="9316"/>
    <cellStyle name="표준 3 2 2 4 6" xfId="9317"/>
    <cellStyle name="표준 3 2 2 4 7" xfId="9318"/>
    <cellStyle name="표준 3 2 2 6 2" xfId="9319"/>
    <cellStyle name="표준 3 2 2 7 2" xfId="9320"/>
    <cellStyle name="표준 3 2 2 8" xfId="9321"/>
    <cellStyle name="표준 3 2 3 8" xfId="9322"/>
    <cellStyle name="표준 3 2 3 2 4" xfId="9323"/>
    <cellStyle name="표준 3 2 3 2 2 2" xfId="9324"/>
    <cellStyle name="표준 3 2 3 2 3" xfId="9325"/>
    <cellStyle name="표준 3 2 3 3 4" xfId="9326"/>
    <cellStyle name="표준 3 2 3 3 2 2" xfId="9327"/>
    <cellStyle name="표준 3 2 3 3 3" xfId="9328"/>
    <cellStyle name="표준 3 2 3 4 4" xfId="9329"/>
    <cellStyle name="표준 3 2 3 4 2 2" xfId="9330"/>
    <cellStyle name="표준 3 2 3 4 3" xfId="9331"/>
    <cellStyle name="표준 3 2 3 5 2" xfId="9332"/>
    <cellStyle name="표준 3 2 3 6" xfId="9333"/>
    <cellStyle name="표준 3 2 3 7" xfId="9334"/>
    <cellStyle name="표준 3 2 4 10" xfId="9335"/>
    <cellStyle name="표준 3 2 4 2 8" xfId="9336"/>
    <cellStyle name="표준 3 2 4 2 2 4" xfId="9337"/>
    <cellStyle name="표준 3 2 4 2 2 2 2" xfId="9338"/>
    <cellStyle name="표준 3 2 4 2 2 3" xfId="9339"/>
    <cellStyle name="표준 3 2 4 2 3 4" xfId="9340"/>
    <cellStyle name="표준 3 2 4 2 3 2 2" xfId="9341"/>
    <cellStyle name="표준 3 2 4 2 3 3" xfId="9342"/>
    <cellStyle name="표준 3 2 4 2 4 4" xfId="9343"/>
    <cellStyle name="표준 3 2 4 2 4 2 2" xfId="9344"/>
    <cellStyle name="표준 3 2 4 2 4 3" xfId="9345"/>
    <cellStyle name="표준 3 2 4 2 5 2" xfId="9346"/>
    <cellStyle name="표준 3 2 4 2 6" xfId="9347"/>
    <cellStyle name="표준 3 2 4 2 7" xfId="9348"/>
    <cellStyle name="표준 3 2 4 3 6" xfId="9349"/>
    <cellStyle name="표준 3 2 4 3 2 2" xfId="9350"/>
    <cellStyle name="표준 3 2 4 3 3 3" xfId="9351"/>
    <cellStyle name="표준 3 2 4 3 3 2" xfId="9352"/>
    <cellStyle name="표준 3 2 4 3 4 3" xfId="9353"/>
    <cellStyle name="표준 3 2 4 3 4 2" xfId="9354"/>
    <cellStyle name="표준 3 2 4 3 5" xfId="9355"/>
    <cellStyle name="표준 3 2 4 4 4" xfId="9356"/>
    <cellStyle name="표준 3 2 4 4 2 2" xfId="9357"/>
    <cellStyle name="표준 3 2 4 4 3" xfId="9358"/>
    <cellStyle name="표준 3 2 4 5 4" xfId="9359"/>
    <cellStyle name="표준 3 2 4 5 2 2" xfId="9360"/>
    <cellStyle name="표준 3 2 4 5 3" xfId="9361"/>
    <cellStyle name="표준 3 2 4 6 4" xfId="9362"/>
    <cellStyle name="표준 3 2 4 6 2 2" xfId="9363"/>
    <cellStyle name="표준 3 2 4 6 3" xfId="9364"/>
    <cellStyle name="표준 3 2 4 7 2" xfId="9365"/>
    <cellStyle name="표준 3 2 4 8" xfId="9366"/>
    <cellStyle name="표준 3 2 4 9" xfId="9367"/>
    <cellStyle name="표준 3 2 5 7" xfId="9368"/>
    <cellStyle name="표준 3 2 5 2 5" xfId="9369"/>
    <cellStyle name="표준 3 2 5 2 2 2" xfId="9370"/>
    <cellStyle name="표준 3 2 5 2 3 2" xfId="9371"/>
    <cellStyle name="표준 3 2 5 2 4" xfId="9372"/>
    <cellStyle name="표준 3 2 5 3 2" xfId="9373"/>
    <cellStyle name="표준 3 2 5 4 3" xfId="9374"/>
    <cellStyle name="표준 3 2 5 4 2" xfId="9375"/>
    <cellStyle name="표준 3 2 5 5 3" xfId="9376"/>
    <cellStyle name="표준 3 2 5 5 2" xfId="9377"/>
    <cellStyle name="표준 3 2 5 6" xfId="9378"/>
    <cellStyle name="표준 3 2 6 5" xfId="9379"/>
    <cellStyle name="표준 3 2 6 2 2" xfId="9380"/>
    <cellStyle name="표준 3 2 6 3" xfId="9381"/>
    <cellStyle name="표준 3 2 6 4" xfId="9382"/>
    <cellStyle name="표준 3 2 7 4" xfId="9383"/>
    <cellStyle name="표준 3 2 7 2 2" xfId="9384"/>
    <cellStyle name="표준 3 2 7 3" xfId="9385"/>
    <cellStyle name="표준 3 2 8 4" xfId="9386"/>
    <cellStyle name="표준 3 2 8 2 2" xfId="9387"/>
    <cellStyle name="표준 3 2 8 3" xfId="9388"/>
    <cellStyle name="표준 3 2 9 2" xfId="9389"/>
    <cellStyle name="표준 3 3 2 10" xfId="9390"/>
    <cellStyle name="표준 3 3 2 2 6" xfId="9391"/>
    <cellStyle name="표준 3 3 2 2 2 2" xfId="9392"/>
    <cellStyle name="표준 3 3 2 2 3 3" xfId="9393"/>
    <cellStyle name="표준 3 3 2 2 3 2" xfId="9394"/>
    <cellStyle name="표준 3 3 2 2 4 3" xfId="9395"/>
    <cellStyle name="표준 3 3 2 2 4 2" xfId="9396"/>
    <cellStyle name="표준 3 3 2 2 5" xfId="9397"/>
    <cellStyle name="표준 3 3 2 3 8" xfId="9398"/>
    <cellStyle name="표준 3 3 2 3 2 4" xfId="9399"/>
    <cellStyle name="표준 3 3 2 3 2 2 2" xfId="9400"/>
    <cellStyle name="표준 3 3 2 3 2 3" xfId="9401"/>
    <cellStyle name="표준 3 3 2 3 3 4" xfId="9402"/>
    <cellStyle name="표준 3 3 2 3 3 2 2" xfId="9403"/>
    <cellStyle name="표준 3 3 2 3 3 3" xfId="9404"/>
    <cellStyle name="표준 3 3 2 3 4 4" xfId="9405"/>
    <cellStyle name="표준 3 3 2 3 4 2 2" xfId="9406"/>
    <cellStyle name="표준 3 3 2 3 4 3" xfId="9407"/>
    <cellStyle name="표준 3 3 2 3 5 2" xfId="9408"/>
    <cellStyle name="표준 3 3 2 3 6" xfId="9409"/>
    <cellStyle name="표준 3 3 2 3 7" xfId="9410"/>
    <cellStyle name="표준 3 3 2 4 3 2" xfId="9411"/>
    <cellStyle name="표준 3 3 2 4 4 2" xfId="9412"/>
    <cellStyle name="표준 3 3 2 4 5" xfId="9413"/>
    <cellStyle name="표준 3 3 2 5 4" xfId="9414"/>
    <cellStyle name="표준 3 3 2 5 2 2" xfId="9415"/>
    <cellStyle name="표준 3 3 2 5 3" xfId="9416"/>
    <cellStyle name="표준 3 3 2 6 4" xfId="9417"/>
    <cellStyle name="표준 3 3 2 6 2 2" xfId="9418"/>
    <cellStyle name="표준 3 3 2 6 3" xfId="9419"/>
    <cellStyle name="표준 3 3 2 7 4" xfId="9420"/>
    <cellStyle name="표준 3 3 2 7 2 2" xfId="9421"/>
    <cellStyle name="표준 3 3 2 7 3" xfId="9422"/>
    <cellStyle name="표준 3 3 2 8 2" xfId="9423"/>
    <cellStyle name="표준 3 3 2 9" xfId="9424"/>
    <cellStyle name="표준 3 3 3 2 3 2" xfId="9425"/>
    <cellStyle name="표준 3 3 3 2 4 2" xfId="9426"/>
    <cellStyle name="표준 3 3 3 2 5" xfId="9427"/>
    <cellStyle name="표준 3 3 3 3 6" xfId="9428"/>
    <cellStyle name="표준 3 3 3 3 2 2" xfId="9429"/>
    <cellStyle name="표준 3 3 3 3 3 3" xfId="9430"/>
    <cellStyle name="표준 3 3 3 3 3 2" xfId="9431"/>
    <cellStyle name="표준 3 3 3 3 4 3" xfId="9432"/>
    <cellStyle name="표준 3 3 3 3 4 2" xfId="9433"/>
    <cellStyle name="표준 3 3 3 3 5" xfId="9434"/>
    <cellStyle name="표준 3 3 3 5 2" xfId="9435"/>
    <cellStyle name="표준 3 3 3 6 2" xfId="9436"/>
    <cellStyle name="표준 3 3 3 7" xfId="9437"/>
    <cellStyle name="표준 3 3 4 2 2 2" xfId="9438"/>
    <cellStyle name="표준 3 3 4 3 2" xfId="9439"/>
    <cellStyle name="표준 3 3 4 4 3" xfId="9440"/>
    <cellStyle name="표준 3 3 4 4 2" xfId="9441"/>
    <cellStyle name="표준 3 3 4 5 3" xfId="9442"/>
    <cellStyle name="표준 3 3 4 5 2" xfId="9443"/>
    <cellStyle name="표준 3 3 4 6" xfId="9444"/>
    <cellStyle name="표준 3 3 5 2 2" xfId="9445"/>
    <cellStyle name="표준 3 3 6 2" xfId="9446"/>
    <cellStyle name="표준 3 3 7 2" xfId="9447"/>
    <cellStyle name="표준 3 3 8" xfId="9448"/>
    <cellStyle name="표준 3 4 10" xfId="9449"/>
    <cellStyle name="표준 3 4 2 7" xfId="9450"/>
    <cellStyle name="표준 3 4 2 2 4" xfId="9451"/>
    <cellStyle name="표준 3 4 2 2 2" xfId="9452"/>
    <cellStyle name="표준 3 4 2 2 3" xfId="9453"/>
    <cellStyle name="표준 3 4 2 3 3" xfId="9454"/>
    <cellStyle name="표준 3 4 2 3 2" xfId="9455"/>
    <cellStyle name="표준 3 4 2 4 3" xfId="9456"/>
    <cellStyle name="표준 3 4 2 4 2" xfId="9457"/>
    <cellStyle name="표준 3 4 2 5 3" xfId="9458"/>
    <cellStyle name="표준 3 4 2 5 2" xfId="9459"/>
    <cellStyle name="표준 3 4 2 6" xfId="9460"/>
    <cellStyle name="표준 3 4 3 9" xfId="9461"/>
    <cellStyle name="표준 3 4 3 2 6" xfId="9462"/>
    <cellStyle name="표준 3 4 3 2 2 2" xfId="9463"/>
    <cellStyle name="표준 3 4 3 2 3" xfId="9464"/>
    <cellStyle name="표준 3 4 3 2 4" xfId="9465"/>
    <cellStyle name="표준 3 4 3 2 5" xfId="9466"/>
    <cellStyle name="표준 3 4 3 3 4" xfId="9467"/>
    <cellStyle name="표준 3 4 3 3 2 2" xfId="9468"/>
    <cellStyle name="표준 3 4 3 3 3" xfId="9469"/>
    <cellStyle name="표준 3 4 3 4 4" xfId="9470"/>
    <cellStyle name="표준 3 4 3 4 2 2" xfId="9471"/>
    <cellStyle name="표준 3 4 3 4 3" xfId="9472"/>
    <cellStyle name="표준 3 4 3 5 3" xfId="9473"/>
    <cellStyle name="표준 3 4 3 5 2" xfId="9474"/>
    <cellStyle name="표준 3 4 3 6" xfId="9475"/>
    <cellStyle name="표준 3 4 3 7" xfId="9476"/>
    <cellStyle name="표준 3 4 3 8" xfId="9477"/>
    <cellStyle name="표준 3 4 4 5" xfId="9478"/>
    <cellStyle name="표준 3 4 4 2 2" xfId="9479"/>
    <cellStyle name="표준 3 4 4 3" xfId="9480"/>
    <cellStyle name="표준 3 4 4 4" xfId="9481"/>
    <cellStyle name="표준 3 4 5 4" xfId="9482"/>
    <cellStyle name="표준 3 4 5 2 2" xfId="9483"/>
    <cellStyle name="표준 3 4 5 3" xfId="9484"/>
    <cellStyle name="표준 3 4 6 4" xfId="9485"/>
    <cellStyle name="표준 3 4 6 2 2" xfId="9486"/>
    <cellStyle name="표준 3 4 6 3" xfId="9487"/>
    <cellStyle name="표준 3 4 7 2" xfId="9488"/>
    <cellStyle name="표준 3 4 8" xfId="9489"/>
    <cellStyle name="표준 3 4 9" xfId="9490"/>
    <cellStyle name="표준 3 5 11" xfId="9491"/>
    <cellStyle name="표준 3 5 10" xfId="9492"/>
    <cellStyle name="표준 3 5 2 10" xfId="9493"/>
    <cellStyle name="표준 3 5 2 2 6" xfId="9494"/>
    <cellStyle name="표준 3 5 2 2 2 2" xfId="9495"/>
    <cellStyle name="표준 3 5 2 2 3 3" xfId="9496"/>
    <cellStyle name="표준 3 5 2 2 3 2" xfId="9497"/>
    <cellStyle name="표준 3 5 2 2 4 3" xfId="9498"/>
    <cellStyle name="표준 3 5 2 2 4 2" xfId="9499"/>
    <cellStyle name="표준 3 5 2 2 5" xfId="9500"/>
    <cellStyle name="표준 3 5 2 3 8" xfId="9501"/>
    <cellStyle name="표준 3 5 2 3 2 4" xfId="9502"/>
    <cellStyle name="표준 3 5 2 3 2 2 2" xfId="9503"/>
    <cellStyle name="표준 3 5 2 3 2 3" xfId="9504"/>
    <cellStyle name="표준 3 5 2 3 3 4" xfId="9505"/>
    <cellStyle name="표준 3 5 2 3 3 2 2" xfId="9506"/>
    <cellStyle name="표준 3 5 2 3 3 3" xfId="9507"/>
    <cellStyle name="표준 3 5 2 3 4 4" xfId="9508"/>
    <cellStyle name="표준 3 5 2 3 4 2 2" xfId="9509"/>
    <cellStyle name="표준 3 5 2 3 4 3" xfId="9510"/>
    <cellStyle name="표준 3 5 2 3 5 2" xfId="9511"/>
    <cellStyle name="표준 3 5 2 3 6" xfId="9512"/>
    <cellStyle name="표준 3 5 2 3 7" xfId="9513"/>
    <cellStyle name="표준 3 5 2 4 6" xfId="9514"/>
    <cellStyle name="표준 3 5 2 4 2 2" xfId="9515"/>
    <cellStyle name="표준 3 5 2 4 3 3" xfId="9516"/>
    <cellStyle name="표준 3 5 2 4 3 2" xfId="9517"/>
    <cellStyle name="표준 3 5 2 4 4 3" xfId="9518"/>
    <cellStyle name="표준 3 5 2 4 4 2" xfId="9519"/>
    <cellStyle name="표준 3 5 2 4 5" xfId="9520"/>
    <cellStyle name="표준 3 5 2 5 6" xfId="9521"/>
    <cellStyle name="표준 3 5 2 5 2 2" xfId="9522"/>
    <cellStyle name="표준 3 5 2 5 3 3" xfId="9523"/>
    <cellStyle name="표준 3 5 2 5 3 2" xfId="9524"/>
    <cellStyle name="표준 3 5 2 5 4 3" xfId="9525"/>
    <cellStyle name="표준 3 5 2 5 4 2" xfId="9526"/>
    <cellStyle name="표준 3 5 2 5 5" xfId="9527"/>
    <cellStyle name="표준 3 5 2 6 6" xfId="9528"/>
    <cellStyle name="표준 3 5 2 6 2 4" xfId="9529"/>
    <cellStyle name="표준 3 5 2 6 2 2 2" xfId="9530"/>
    <cellStyle name="표준 3 5 2 6 2 3" xfId="9531"/>
    <cellStyle name="표준 3 5 2 6 3 3" xfId="9532"/>
    <cellStyle name="표준 3 5 2 6 3 2" xfId="9533"/>
    <cellStyle name="표준 3 5 2 6 4 3" xfId="9534"/>
    <cellStyle name="표준 3 5 2 6 4 2" xfId="9535"/>
    <cellStyle name="표준 3 5 2 6 5" xfId="9536"/>
    <cellStyle name="표준 3 5 2 7 3" xfId="9537"/>
    <cellStyle name="표준 3 5 2 7 2" xfId="9538"/>
    <cellStyle name="표준 3 5 2 8 4" xfId="9539"/>
    <cellStyle name="표준 3 5 2 8 2 2" xfId="9540"/>
    <cellStyle name="표준 3 5 2 8 3" xfId="9541"/>
    <cellStyle name="표준 3 5 2 9 2" xfId="9542"/>
    <cellStyle name="표준 3 5 3 6" xfId="9543"/>
    <cellStyle name="표준 3 5 3 2 2" xfId="9544"/>
    <cellStyle name="표준 3 5 3 3 3" xfId="9545"/>
    <cellStyle name="표준 3 5 3 3 2" xfId="9546"/>
    <cellStyle name="표준 3 5 3 4 3" xfId="9547"/>
    <cellStyle name="표준 3 5 3 4 2" xfId="9548"/>
    <cellStyle name="표준 3 5 3 5" xfId="9549"/>
    <cellStyle name="표준 3 5 4 8" xfId="9550"/>
    <cellStyle name="표준 3 5 4 2 4" xfId="9551"/>
    <cellStyle name="표준 3 5 4 2 2 2" xfId="9552"/>
    <cellStyle name="표준 3 5 4 2 3" xfId="9553"/>
    <cellStyle name="표준 3 5 4 3 4" xfId="9554"/>
    <cellStyle name="표준 3 5 4 3 2 2" xfId="9555"/>
    <cellStyle name="표준 3 5 4 3 3" xfId="9556"/>
    <cellStyle name="표준 3 5 4 4 4" xfId="9557"/>
    <cellStyle name="표준 3 5 4 4 2 2" xfId="9558"/>
    <cellStyle name="표준 3 5 4 4 3" xfId="9559"/>
    <cellStyle name="표준 3 5 4 5 2" xfId="9560"/>
    <cellStyle name="표준 3 5 4 6" xfId="9561"/>
    <cellStyle name="표준 3 5 4 7" xfId="9562"/>
    <cellStyle name="표준 3 5 5 4" xfId="9563"/>
    <cellStyle name="표준 3 5 5 2 2" xfId="9564"/>
    <cellStyle name="표준 3 5 5 3" xfId="9565"/>
    <cellStyle name="표준 3 5 6 4" xfId="9566"/>
    <cellStyle name="표준 3 5 6 2 2" xfId="9567"/>
    <cellStyle name="표준 3 5 6 3" xfId="9568"/>
    <cellStyle name="표준 3 5 7 4" xfId="9569"/>
    <cellStyle name="표준 3 5 7 2 2" xfId="9570"/>
    <cellStyle name="표준 3 5 7 3" xfId="9571"/>
    <cellStyle name="표준 3 5 8 2" xfId="9572"/>
    <cellStyle name="표준 3 5 9" xfId="9573"/>
    <cellStyle name="표준 3 6 10" xfId="9574"/>
    <cellStyle name="표준 3 6 2 8" xfId="9575"/>
    <cellStyle name="표준 3 6 2 2 4" xfId="9576"/>
    <cellStyle name="표준 3 6 2 2 2 2" xfId="9577"/>
    <cellStyle name="표준 3 6 2 2 3" xfId="9578"/>
    <cellStyle name="표준 3 6 2 3 4" xfId="9579"/>
    <cellStyle name="표준 3 6 2 3 2 2" xfId="9580"/>
    <cellStyle name="표준 3 6 2 3 3" xfId="9581"/>
    <cellStyle name="표준 3 6 2 4 4" xfId="9582"/>
    <cellStyle name="표준 3 6 2 4 2 2" xfId="9583"/>
    <cellStyle name="표준 3 6 2 4 3" xfId="9584"/>
    <cellStyle name="표준 3 6 2 5 2" xfId="9585"/>
    <cellStyle name="표준 3 6 2 6" xfId="9586"/>
    <cellStyle name="표준 3 6 2 7" xfId="9587"/>
    <cellStyle name="표준 3 6 3 3 2" xfId="9588"/>
    <cellStyle name="표준 3 6 3 4 2" xfId="9589"/>
    <cellStyle name="표준 3 6 3 5" xfId="9590"/>
    <cellStyle name="표준 3 6 4 8" xfId="9591"/>
    <cellStyle name="표준 3 6 4 2 4" xfId="9592"/>
    <cellStyle name="표준 3 6 4 2 2 2" xfId="9593"/>
    <cellStyle name="표준 3 6 4 2 3" xfId="9594"/>
    <cellStyle name="표준 3 6 4 3 4" xfId="9595"/>
    <cellStyle name="표준 3 6 4 3 2 2" xfId="9596"/>
    <cellStyle name="표준 3 6 4 3 3" xfId="9597"/>
    <cellStyle name="표준 3 6 4 4 4" xfId="9598"/>
    <cellStyle name="표준 3 6 4 4 2 2" xfId="9599"/>
    <cellStyle name="표준 3 6 4 4 3" xfId="9600"/>
    <cellStyle name="표준 3 6 4 5 2" xfId="9601"/>
    <cellStyle name="표준 3 6 4 6" xfId="9602"/>
    <cellStyle name="표준 3 6 4 7" xfId="9603"/>
    <cellStyle name="표준 3 6 5 4" xfId="9604"/>
    <cellStyle name="표준 3 6 5 2 2" xfId="9605"/>
    <cellStyle name="표준 3 6 5 3" xfId="9606"/>
    <cellStyle name="표준 3 6 6 4" xfId="9607"/>
    <cellStyle name="표준 3 6 6 2 2" xfId="9608"/>
    <cellStyle name="표준 3 6 6 3" xfId="9609"/>
    <cellStyle name="표준 3 6 7 4" xfId="9610"/>
    <cellStyle name="표준 3 6 7 2 2" xfId="9611"/>
    <cellStyle name="표준 3 6 7 3" xfId="9612"/>
    <cellStyle name="표준 3 6 8 2" xfId="9613"/>
    <cellStyle name="표준 3 6 9" xfId="9614"/>
    <cellStyle name="표준 3 7 2 2 2 4" xfId="9615"/>
    <cellStyle name="표준 3 7 2 2 2 2 2" xfId="9616"/>
    <cellStyle name="표준 3 7 2 2 2 3" xfId="9617"/>
    <cellStyle name="표준 3 7 2 3 4" xfId="9618"/>
    <cellStyle name="표준 3 7 2 3 2 2" xfId="9619"/>
    <cellStyle name="표준 3 7 2 3 3" xfId="9620"/>
    <cellStyle name="표준 3 7 2 4 4" xfId="9621"/>
    <cellStyle name="표준 3 7 2 4 2 2" xfId="9622"/>
    <cellStyle name="표준 3 7 2 4 3" xfId="9623"/>
    <cellStyle name="표준 3 7 2 5 2" xfId="9624"/>
    <cellStyle name="표준 3 7 2 6" xfId="9625"/>
    <cellStyle name="표준 3 7 2 7" xfId="9626"/>
    <cellStyle name="표준 3 7 4 2" xfId="9627"/>
    <cellStyle name="표준 3 7 5 2" xfId="9628"/>
    <cellStyle name="표준 3 7 6" xfId="9629"/>
    <cellStyle name="표준 3 8 10" xfId="9630"/>
    <cellStyle name="표준 3 8 2 8" xfId="9631"/>
    <cellStyle name="표준 3 8 2 2 4" xfId="9632"/>
    <cellStyle name="표준 3 8 2 2 2 2" xfId="9633"/>
    <cellStyle name="표준 3 8 2 2 3" xfId="9634"/>
    <cellStyle name="표준 3 8 2 3 4" xfId="9635"/>
    <cellStyle name="표준 3 8 2 3 2 2" xfId="9636"/>
    <cellStyle name="표준 3 8 2 3 3" xfId="9637"/>
    <cellStyle name="표준 3 8 2 4 4" xfId="9638"/>
    <cellStyle name="표준 3 8 2 4 2 2" xfId="9639"/>
    <cellStyle name="표준 3 8 2 4 3" xfId="9640"/>
    <cellStyle name="표준 3 8 2 5 2" xfId="9641"/>
    <cellStyle name="표준 3 8 2 6" xfId="9642"/>
    <cellStyle name="표준 3 8 2 7" xfId="9643"/>
    <cellStyle name="표준 3 8 3 8" xfId="9644"/>
    <cellStyle name="표준 3 8 3 2 4" xfId="9645"/>
    <cellStyle name="표준 3 8 3 2 2 2" xfId="9646"/>
    <cellStyle name="표준 3 8 3 2 3" xfId="9647"/>
    <cellStyle name="표준 3 8 3 3 4" xfId="9648"/>
    <cellStyle name="표준 3 8 3 3 2 2" xfId="9649"/>
    <cellStyle name="표준 3 8 3 3 3" xfId="9650"/>
    <cellStyle name="표준 3 8 3 4 4" xfId="9651"/>
    <cellStyle name="표준 3 8 3 4 2 2" xfId="9652"/>
    <cellStyle name="표준 3 8 3 4 3" xfId="9653"/>
    <cellStyle name="표준 3 8 3 5 2" xfId="9654"/>
    <cellStyle name="표준 3 8 3 6" xfId="9655"/>
    <cellStyle name="표준 3 8 3 7" xfId="9656"/>
    <cellStyle name="표준 3 8 4 4" xfId="9657"/>
    <cellStyle name="표준 3 8 4 2 2" xfId="9658"/>
    <cellStyle name="표준 3 8 4 3" xfId="9659"/>
    <cellStyle name="표준 3 8 5 4" xfId="9660"/>
    <cellStyle name="표준 3 8 5 2 2" xfId="9661"/>
    <cellStyle name="표준 3 8 5 3" xfId="9662"/>
    <cellStyle name="표준 3 8 6 4" xfId="9663"/>
    <cellStyle name="표준 3 8 6 2 2" xfId="9664"/>
    <cellStyle name="표준 3 8 6 3" xfId="9665"/>
    <cellStyle name="표준 3 8 7 2" xfId="9666"/>
    <cellStyle name="표준 3 8 8" xfId="9667"/>
    <cellStyle name="표준 3 8 9" xfId="9668"/>
    <cellStyle name="표준 3 9 2 2 4" xfId="9669"/>
    <cellStyle name="표준 3 9 2 2 2 2" xfId="9670"/>
    <cellStyle name="표준 3 9 2 2 3" xfId="9671"/>
    <cellStyle name="표준 3 9 3 4" xfId="9672"/>
    <cellStyle name="표준 3 9 3 2 2" xfId="9673"/>
    <cellStyle name="표준 3 9 3 3" xfId="9674"/>
    <cellStyle name="표준 3 9 4 4" xfId="9675"/>
    <cellStyle name="표준 3 9 4 2 2" xfId="9676"/>
    <cellStyle name="표준 3 9 4 3" xfId="9677"/>
    <cellStyle name="표준 3 9 5 2" xfId="9678"/>
    <cellStyle name="표준 3 9 6" xfId="9679"/>
    <cellStyle name="표준 3 9 7" xfId="9680"/>
    <cellStyle name="표준 30 8" xfId="9681"/>
    <cellStyle name="표준 30 2 4 2" xfId="9682"/>
    <cellStyle name="표준 30 2 2 3" xfId="9683"/>
    <cellStyle name="표준 30 2 3 3" xfId="9684"/>
    <cellStyle name="표준 30 3 4" xfId="9685"/>
    <cellStyle name="표준 30 3 2 2" xfId="9686"/>
    <cellStyle name="표준 30 3 3" xfId="9687"/>
    <cellStyle name="표준 30 4 4" xfId="9688"/>
    <cellStyle name="표준 30 4 2 2" xfId="9689"/>
    <cellStyle name="표준 30 4 3" xfId="9690"/>
    <cellStyle name="표준 30 5 2" xfId="9691"/>
    <cellStyle name="표준 30 6" xfId="9692"/>
    <cellStyle name="표준 30 7" xfId="9693"/>
    <cellStyle name="표준 31 8" xfId="9694"/>
    <cellStyle name="표준 31 2 4" xfId="9695"/>
    <cellStyle name="표준 31 2 2 2" xfId="9696"/>
    <cellStyle name="표준 31 2 3" xfId="9697"/>
    <cellStyle name="표준 31 3 4" xfId="9698"/>
    <cellStyle name="표준 31 3 2 2" xfId="9699"/>
    <cellStyle name="표준 31 3 3" xfId="9700"/>
    <cellStyle name="표준 31 4 4" xfId="9701"/>
    <cellStyle name="표준 31 4 2 2" xfId="9702"/>
    <cellStyle name="표준 31 4 3" xfId="9703"/>
    <cellStyle name="표준 31 5 2" xfId="9704"/>
    <cellStyle name="표준 31 6" xfId="9705"/>
    <cellStyle name="표준 31 7" xfId="9706"/>
    <cellStyle name="표준 32 8" xfId="9707"/>
    <cellStyle name="표준 32 2 4" xfId="9708"/>
    <cellStyle name="표준 32 2 2 2" xfId="9709"/>
    <cellStyle name="표준 32 2 3" xfId="9710"/>
    <cellStyle name="표준 32 3 4" xfId="9711"/>
    <cellStyle name="표준 32 3 2 2" xfId="9712"/>
    <cellStyle name="표준 32 3 3" xfId="9713"/>
    <cellStyle name="표준 32 4 4" xfId="9714"/>
    <cellStyle name="표준 32 4 2 2" xfId="9715"/>
    <cellStyle name="표준 32 4 3" xfId="9716"/>
    <cellStyle name="표준 32 5 2" xfId="9717"/>
    <cellStyle name="표준 32 6" xfId="9718"/>
    <cellStyle name="표준 32 7" xfId="9719"/>
    <cellStyle name="표준 33 8" xfId="9720"/>
    <cellStyle name="표준 33 2 4" xfId="9721"/>
    <cellStyle name="표준 33 2 2 2" xfId="9722"/>
    <cellStyle name="표준 33 2 3" xfId="9723"/>
    <cellStyle name="표준 33 3 4" xfId="9724"/>
    <cellStyle name="표준 33 3 2 2" xfId="9725"/>
    <cellStyle name="표준 33 3 3" xfId="9726"/>
    <cellStyle name="표준 33 4 4" xfId="9727"/>
    <cellStyle name="표준 33 4 2 2" xfId="9728"/>
    <cellStyle name="표준 33 4 3" xfId="9729"/>
    <cellStyle name="표준 33 5 2" xfId="9730"/>
    <cellStyle name="표준 33 6" xfId="9731"/>
    <cellStyle name="표준 33 7" xfId="9732"/>
    <cellStyle name="표준 34 8" xfId="9733"/>
    <cellStyle name="표준 34 2 4" xfId="9734"/>
    <cellStyle name="표준 34 2 2 2" xfId="9735"/>
    <cellStyle name="표준 34 2 3" xfId="9736"/>
    <cellStyle name="표준 34 3 4" xfId="9737"/>
    <cellStyle name="표준 34 3 2 2" xfId="9738"/>
    <cellStyle name="표준 34 3 3" xfId="9739"/>
    <cellStyle name="표준 34 4 4" xfId="9740"/>
    <cellStyle name="표준 34 4 2 2" xfId="9741"/>
    <cellStyle name="표준 34 4 3" xfId="9742"/>
    <cellStyle name="표준 34 5 2" xfId="9743"/>
    <cellStyle name="표준 34 6" xfId="9744"/>
    <cellStyle name="표준 34 7" xfId="9745"/>
    <cellStyle name="표준 35 11" xfId="9746"/>
    <cellStyle name="표준 35 10" xfId="9747"/>
    <cellStyle name="표준 35 2 8" xfId="9748"/>
    <cellStyle name="표준 35 2 2 4" xfId="9749"/>
    <cellStyle name="표준 35 2 2 2 2" xfId="9750"/>
    <cellStyle name="표준 35 2 2 3" xfId="9751"/>
    <cellStyle name="표준 35 2 3 4" xfId="9752"/>
    <cellStyle name="표준 35 2 3 2 2" xfId="9753"/>
    <cellStyle name="표준 35 2 3 3" xfId="9754"/>
    <cellStyle name="표준 35 2 4 4" xfId="9755"/>
    <cellStyle name="표준 35 2 4 2 2" xfId="9756"/>
    <cellStyle name="표준 35 2 4 3" xfId="9757"/>
    <cellStyle name="표준 35 2 5 2" xfId="9758"/>
    <cellStyle name="표준 35 2 6" xfId="9759"/>
    <cellStyle name="표준 35 2 7" xfId="9760"/>
    <cellStyle name="표준 35 3 8" xfId="9761"/>
    <cellStyle name="표준 35 3 2 4" xfId="9762"/>
    <cellStyle name="표준 35 3 2 2 2" xfId="9763"/>
    <cellStyle name="표준 35 3 2 3" xfId="9764"/>
    <cellStyle name="표준 35 3 3 4" xfId="9765"/>
    <cellStyle name="표준 35 3 3 2 2" xfId="9766"/>
    <cellStyle name="표준 35 3 3 3" xfId="9767"/>
    <cellStyle name="표준 35 3 4 4" xfId="9768"/>
    <cellStyle name="표준 35 3 4 2 2" xfId="9769"/>
    <cellStyle name="표준 35 3 4 3" xfId="9770"/>
    <cellStyle name="표준 35 3 5 2" xfId="9771"/>
    <cellStyle name="표준 35 3 6" xfId="9772"/>
    <cellStyle name="표준 35 3 7" xfId="9773"/>
    <cellStyle name="표준 35 4 8" xfId="9774"/>
    <cellStyle name="표준 35 4 2 4" xfId="9775"/>
    <cellStyle name="표준 35 4 2 2 2" xfId="9776"/>
    <cellStyle name="표준 35 4 2 3" xfId="9777"/>
    <cellStyle name="표준 35 4 3 4" xfId="9778"/>
    <cellStyle name="표준 35 4 3 2 2" xfId="9779"/>
    <cellStyle name="표준 35 4 3 3" xfId="9780"/>
    <cellStyle name="표준 35 4 4 4" xfId="9781"/>
    <cellStyle name="표준 35 4 4 2 2" xfId="9782"/>
    <cellStyle name="표준 35 4 4 3" xfId="9783"/>
    <cellStyle name="표준 35 4 5 2" xfId="9784"/>
    <cellStyle name="표준 35 4 6" xfId="9785"/>
    <cellStyle name="표준 35 4 7" xfId="9786"/>
    <cellStyle name="표준 35 5 4" xfId="9787"/>
    <cellStyle name="표준 35 5 2 2" xfId="9788"/>
    <cellStyle name="표준 35 5 3" xfId="9789"/>
    <cellStyle name="표준 35 6 4" xfId="9790"/>
    <cellStyle name="표준 35 6 2 2" xfId="9791"/>
    <cellStyle name="표준 35 6 3" xfId="9792"/>
    <cellStyle name="표준 35 7 4" xfId="9793"/>
    <cellStyle name="표준 35 7 2 2" xfId="9794"/>
    <cellStyle name="표준 35 7 3" xfId="9795"/>
    <cellStyle name="표준 35 8 2" xfId="9796"/>
    <cellStyle name="표준 35 9" xfId="9797"/>
    <cellStyle name="표준 36 8" xfId="9798"/>
    <cellStyle name="표준 36 2 4" xfId="9799"/>
    <cellStyle name="표준 36 2 2 2" xfId="9800"/>
    <cellStyle name="표준 36 2 3" xfId="9801"/>
    <cellStyle name="표준 36 3 4" xfId="9802"/>
    <cellStyle name="표준 36 3 2 2" xfId="9803"/>
    <cellStyle name="표준 36 3 3" xfId="9804"/>
    <cellStyle name="표준 36 4 4" xfId="9805"/>
    <cellStyle name="표준 36 4 2 2" xfId="9806"/>
    <cellStyle name="표준 36 4 3" xfId="9807"/>
    <cellStyle name="표준 36 5 2" xfId="9808"/>
    <cellStyle name="표준 36 6" xfId="9809"/>
    <cellStyle name="표준 36 7" xfId="9810"/>
    <cellStyle name="표준 37 2 8" xfId="9811"/>
    <cellStyle name="표준 37 2 2 4" xfId="9812"/>
    <cellStyle name="표준 37 2 2 2 2" xfId="9813"/>
    <cellStyle name="표준 37 2 2 3" xfId="9814"/>
    <cellStyle name="표준 37 2 3 4" xfId="9815"/>
    <cellStyle name="표준 37 2 3 2 2" xfId="9816"/>
    <cellStyle name="표준 37 2 3 3" xfId="9817"/>
    <cellStyle name="표준 37 2 4 4" xfId="9818"/>
    <cellStyle name="표준 37 2 4 2 2" xfId="9819"/>
    <cellStyle name="표준 37 2 4 3" xfId="9820"/>
    <cellStyle name="표준 37 2 5 2" xfId="9821"/>
    <cellStyle name="표준 37 2 6" xfId="9822"/>
    <cellStyle name="표준 37 2 7" xfId="9823"/>
    <cellStyle name="표준 37 3 3 4" xfId="9824"/>
    <cellStyle name="표준 37 3 3 2 2" xfId="9825"/>
    <cellStyle name="표준 37 3 3 3" xfId="9826"/>
    <cellStyle name="표준 37 3 4" xfId="9827"/>
    <cellStyle name="표준 37 4 4" xfId="9828"/>
    <cellStyle name="표준 37 4 2 2" xfId="9829"/>
    <cellStyle name="표준 37 4 3" xfId="9830"/>
    <cellStyle name="표준 37 5 2 4" xfId="9831"/>
    <cellStyle name="표준 37 5 2 2 2" xfId="9832"/>
    <cellStyle name="표준 37 5 2 3" xfId="9833"/>
    <cellStyle name="표준 37 5 3" xfId="9834"/>
    <cellStyle name="표준 37 6 2" xfId="9835"/>
    <cellStyle name="표준 37 7 4" xfId="9836"/>
    <cellStyle name="표준 37 7 2 2" xfId="9837"/>
    <cellStyle name="표준 37 7 3" xfId="9838"/>
    <cellStyle name="표준 38 8" xfId="9839"/>
    <cellStyle name="표준 38 2 4" xfId="9840"/>
    <cellStyle name="표준 38 2 2 2" xfId="9841"/>
    <cellStyle name="표준 38 2 3" xfId="9842"/>
    <cellStyle name="표준 38 3 4" xfId="9843"/>
    <cellStyle name="표준 38 3 2 2" xfId="9844"/>
    <cellStyle name="표준 38 3 3" xfId="9845"/>
    <cellStyle name="표준 38 4 4" xfId="9846"/>
    <cellStyle name="표준 38 4 2 2" xfId="9847"/>
    <cellStyle name="표준 38 4 3" xfId="9848"/>
    <cellStyle name="표준 38 5 2" xfId="9849"/>
    <cellStyle name="표준 38 6" xfId="9850"/>
    <cellStyle name="표준 38 7" xfId="9851"/>
    <cellStyle name="표준 39 2 8" xfId="9852"/>
    <cellStyle name="표준 39 2 2 6" xfId="9853"/>
    <cellStyle name="표준 39 2 2 2 4" xfId="9854"/>
    <cellStyle name="표준 39 2 2 2 2 2" xfId="9855"/>
    <cellStyle name="표준 39 2 2 2 3" xfId="9856"/>
    <cellStyle name="표준 39 2 2 3 4" xfId="9857"/>
    <cellStyle name="표준 39 2 2 3 2 2" xfId="9858"/>
    <cellStyle name="표준 39 2 2 3 3" xfId="9859"/>
    <cellStyle name="표준 39 2 2 4 3" xfId="9860"/>
    <cellStyle name="표준 39 2 2 4 2" xfId="9861"/>
    <cellStyle name="표준 39 2 2 5" xfId="9862"/>
    <cellStyle name="표준 39 2 3 6" xfId="9863"/>
    <cellStyle name="표준 39 2 3 2 5" xfId="9864"/>
    <cellStyle name="표준 39 2 3 2 2 2" xfId="9865"/>
    <cellStyle name="표준 39 2 3 2 3" xfId="9866"/>
    <cellStyle name="표준 39 2 3 2 4" xfId="9867"/>
    <cellStyle name="표준 39 2 3 3 2 2" xfId="9868"/>
    <cellStyle name="표준 39 2 3 4 2 2" xfId="9869"/>
    <cellStyle name="표준 39 2 3 5 3" xfId="9870"/>
    <cellStyle name="표준 39 2 4 4" xfId="9871"/>
    <cellStyle name="표준 39 2 4 2 2" xfId="9872"/>
    <cellStyle name="표준 39 2 4 3" xfId="9873"/>
    <cellStyle name="표준 39 2 5 4" xfId="9874"/>
    <cellStyle name="표준 39 2 5 2 2" xfId="9875"/>
    <cellStyle name="표준 39 2 5 3" xfId="9876"/>
    <cellStyle name="표준 39 2 6 2" xfId="9877"/>
    <cellStyle name="표준 39 2 7" xfId="9878"/>
    <cellStyle name="표준 39 3 2 2 4" xfId="9879"/>
    <cellStyle name="표준 39 3 2 2 2 2" xfId="9880"/>
    <cellStyle name="표준 39 3 2 2 3" xfId="9881"/>
    <cellStyle name="표준 39 3 4 4" xfId="9882"/>
    <cellStyle name="표준 39 3 4 2 2" xfId="9883"/>
    <cellStyle name="표준 39 3 4 3" xfId="9884"/>
    <cellStyle name="표준 39 3 5 4" xfId="9885"/>
    <cellStyle name="표준 39 3 5 2 2" xfId="9886"/>
    <cellStyle name="표준 39 3 5 3" xfId="9887"/>
    <cellStyle name="표준 39 3 6" xfId="9888"/>
    <cellStyle name="표준 39 4 2 4" xfId="9889"/>
    <cellStyle name="표준 39 4 2 2 2" xfId="9890"/>
    <cellStyle name="표준 39 4 2 3" xfId="9891"/>
    <cellStyle name="표준 39 4 3" xfId="9892"/>
    <cellStyle name="표준 39 5 2 5" xfId="9893"/>
    <cellStyle name="표준 39 5 2 2 3" xfId="9894"/>
    <cellStyle name="표준 39 5 2 2 2 2" xfId="9895"/>
    <cellStyle name="표준 39 5 2 4 2" xfId="9896"/>
    <cellStyle name="표준 39 5 4 2" xfId="9897"/>
    <cellStyle name="표준 39 5 5" xfId="9898"/>
    <cellStyle name="표준 39 6 4" xfId="9899"/>
    <cellStyle name="표준 39 6 2 2" xfId="9900"/>
    <cellStyle name="표준 39 6 3" xfId="9901"/>
    <cellStyle name="표준 39 7 2" xfId="9902"/>
    <cellStyle name="표준 4 10 4" xfId="9903"/>
    <cellStyle name="표준 4 10 2 2" xfId="9904"/>
    <cellStyle name="표준 4 10 3" xfId="9905"/>
    <cellStyle name="표준 4 11 4" xfId="9906"/>
    <cellStyle name="표준 4 11 2 2" xfId="9907"/>
    <cellStyle name="표준 4 11 3" xfId="9908"/>
    <cellStyle name="표준 4 12 2" xfId="9909"/>
    <cellStyle name="표준 4 13" xfId="9910"/>
    <cellStyle name="표준 4 2 10" xfId="9911"/>
    <cellStyle name="표준 4 2 2 9" xfId="9912"/>
    <cellStyle name="표준 4 2 2 2 8" xfId="9913"/>
    <cellStyle name="표준 4 2 2 2 2 4" xfId="9914"/>
    <cellStyle name="표준 4 2 2 2 2 2 2" xfId="9915"/>
    <cellStyle name="표준 4 2 2 2 2 3" xfId="9916"/>
    <cellStyle name="표준 4 2 2 2 3 4" xfId="9917"/>
    <cellStyle name="표준 4 2 2 2 3 2 2" xfId="9918"/>
    <cellStyle name="표준 4 2 2 2 3 3" xfId="9919"/>
    <cellStyle name="표준 4 2 2 2 4 4" xfId="9920"/>
    <cellStyle name="표준 4 2 2 2 4 2 2" xfId="9921"/>
    <cellStyle name="표준 4 2 2 2 4 3" xfId="9922"/>
    <cellStyle name="표준 4 2 2 2 5 2" xfId="9923"/>
    <cellStyle name="표준 4 2 2 2 6" xfId="9924"/>
    <cellStyle name="표준 4 2 2 2 7" xfId="9925"/>
    <cellStyle name="표준 4 2 2 3 4" xfId="9926"/>
    <cellStyle name="표준 4 2 2 3 2 2" xfId="9927"/>
    <cellStyle name="표준 4 2 2 3 3" xfId="9928"/>
    <cellStyle name="표준 4 2 2 4 4" xfId="9929"/>
    <cellStyle name="표준 4 2 2 4 2 2" xfId="9930"/>
    <cellStyle name="표준 4 2 2 4 3" xfId="9931"/>
    <cellStyle name="표준 4 2 2 5 4" xfId="9932"/>
    <cellStyle name="표준 4 2 2 5 2 2" xfId="9933"/>
    <cellStyle name="표준 4 2 2 5 3" xfId="9934"/>
    <cellStyle name="표준 4 2 2 6 2" xfId="9935"/>
    <cellStyle name="표준 4 2 2 7" xfId="9936"/>
    <cellStyle name="표준 4 2 2 8" xfId="9937"/>
    <cellStyle name="표준 4 2 3 8" xfId="9938"/>
    <cellStyle name="표준 4 2 3 2 4" xfId="9939"/>
    <cellStyle name="표준 4 2 3 2 2 2" xfId="9940"/>
    <cellStyle name="표준 4 2 3 2 3" xfId="9941"/>
    <cellStyle name="표준 4 2 3 3 4" xfId="9942"/>
    <cellStyle name="표준 4 2 3 3 2 2" xfId="9943"/>
    <cellStyle name="표준 4 2 3 3 3" xfId="9944"/>
    <cellStyle name="표준 4 2 3 4 4" xfId="9945"/>
    <cellStyle name="표준 4 2 3 4 2 2" xfId="9946"/>
    <cellStyle name="표준 4 2 3 4 3" xfId="9947"/>
    <cellStyle name="표준 4 2 3 5 2" xfId="9948"/>
    <cellStyle name="표준 4 2 3 6" xfId="9949"/>
    <cellStyle name="표준 4 2 3 7" xfId="9950"/>
    <cellStyle name="표준 4 2 4 5" xfId="9951"/>
    <cellStyle name="표준 4 2 4 2 2" xfId="9952"/>
    <cellStyle name="표준 4 2 4 3" xfId="9953"/>
    <cellStyle name="표준 4 2 4 4" xfId="9954"/>
    <cellStyle name="표준 4 2 5 4" xfId="9955"/>
    <cellStyle name="표준 4 2 5 2 2" xfId="9956"/>
    <cellStyle name="표준 4 2 5 3" xfId="9957"/>
    <cellStyle name="표준 4 2 6 4" xfId="9958"/>
    <cellStyle name="표준 4 2 6 2 2" xfId="9959"/>
    <cellStyle name="표준 4 2 6 3" xfId="9960"/>
    <cellStyle name="표준 4 2 7 2" xfId="9961"/>
    <cellStyle name="표준 4 2 8" xfId="9962"/>
    <cellStyle name="표준 4 2 9" xfId="9963"/>
    <cellStyle name="표준 4 3 8" xfId="9964"/>
    <cellStyle name="표준 4 3 2 4" xfId="9965"/>
    <cellStyle name="표준 4 3 2 2 2" xfId="9966"/>
    <cellStyle name="표준 4 3 2 3" xfId="9967"/>
    <cellStyle name="표준 4 3 3 4" xfId="9968"/>
    <cellStyle name="표준 4 3 3 2 2" xfId="9969"/>
    <cellStyle name="표준 4 3 3 3" xfId="9970"/>
    <cellStyle name="표준 4 3 4 4" xfId="9971"/>
    <cellStyle name="표준 4 3 4 2 2" xfId="9972"/>
    <cellStyle name="표준 4 3 4 3" xfId="9973"/>
    <cellStyle name="표준 4 3 5 2" xfId="9974"/>
    <cellStyle name="표준 4 3 6" xfId="9975"/>
    <cellStyle name="표준 4 3 7" xfId="9976"/>
    <cellStyle name="표준 4 4 8" xfId="9977"/>
    <cellStyle name="표준 4 4 2 4" xfId="9978"/>
    <cellStyle name="표준 4 4 2 2 2" xfId="9979"/>
    <cellStyle name="표준 4 4 2 3" xfId="9980"/>
    <cellStyle name="표준 4 4 3 4" xfId="9981"/>
    <cellStyle name="표준 4 4 3 2 2" xfId="9982"/>
    <cellStyle name="표준 4 4 3 3" xfId="9983"/>
    <cellStyle name="표준 4 4 4 4" xfId="9984"/>
    <cellStyle name="표준 4 4 4 2 2" xfId="9985"/>
    <cellStyle name="표준 4 4 4 3" xfId="9986"/>
    <cellStyle name="표준 4 4 5 2" xfId="9987"/>
    <cellStyle name="표준 4 4 6" xfId="9988"/>
    <cellStyle name="표준 4 4 7" xfId="9989"/>
    <cellStyle name="표준 4 5 2 10" xfId="9990"/>
    <cellStyle name="표준 4 5 2 11" xfId="9991"/>
    <cellStyle name="표준 4 5 2 2 8" xfId="9992"/>
    <cellStyle name="표준 4 5 2 2 2 4" xfId="9993"/>
    <cellStyle name="표준 4 5 2 2 2 2 2" xfId="9994"/>
    <cellStyle name="표준 4 5 2 2 2 3" xfId="9995"/>
    <cellStyle name="표준 4 5 2 2 3 4" xfId="9996"/>
    <cellStyle name="표준 4 5 2 2 3 2 2" xfId="9997"/>
    <cellStyle name="표준 4 5 2 2 3 3" xfId="9998"/>
    <cellStyle name="표준 4 5 2 2 4 4" xfId="9999"/>
    <cellStyle name="표준 4 5 2 2 4 2 2" xfId="10000"/>
    <cellStyle name="표준 4 5 2 2 4 3" xfId="10001"/>
    <cellStyle name="표준 4 5 2 2 5 2" xfId="10002"/>
    <cellStyle name="표준 4 5 2 2 6" xfId="10003"/>
    <cellStyle name="표준 4 5 2 2 7" xfId="10004"/>
    <cellStyle name="표준 4 5 2 3 3 2" xfId="10005"/>
    <cellStyle name="표준 4 5 2 3 4 2" xfId="10006"/>
    <cellStyle name="표준 4 5 2 3 5" xfId="10007"/>
    <cellStyle name="표준 4 5 2 4 8" xfId="10008"/>
    <cellStyle name="표준 4 5 2 4 2 4" xfId="10009"/>
    <cellStyle name="표준 4 5 2 4 2 2 2" xfId="10010"/>
    <cellStyle name="표준 4 5 2 4 2 3" xfId="10011"/>
    <cellStyle name="표준 4 5 2 4 3 4" xfId="10012"/>
    <cellStyle name="표준 4 5 2 4 3 2 2" xfId="10013"/>
    <cellStyle name="표준 4 5 2 4 3 3" xfId="10014"/>
    <cellStyle name="표준 4 5 2 4 4 4" xfId="10015"/>
    <cellStyle name="표준 4 5 2 4 4 2 2" xfId="10016"/>
    <cellStyle name="표준 4 5 2 4 4 3" xfId="10017"/>
    <cellStyle name="표준 4 5 2 4 5 2" xfId="10018"/>
    <cellStyle name="표준 4 5 2 4 6" xfId="10019"/>
    <cellStyle name="표준 4 5 2 4 7" xfId="10020"/>
    <cellStyle name="표준 4 5 2 5 8" xfId="10021"/>
    <cellStyle name="표준 4 5 2 5 2 4" xfId="10022"/>
    <cellStyle name="표준 4 5 2 5 2 2 2" xfId="10023"/>
    <cellStyle name="표준 4 5 2 5 2 3" xfId="10024"/>
    <cellStyle name="표준 4 5 2 5 3 4" xfId="10025"/>
    <cellStyle name="표준 4 5 2 5 3 2 2" xfId="10026"/>
    <cellStyle name="표준 4 5 2 5 3 3" xfId="10027"/>
    <cellStyle name="표준 4 5 2 5 4 4" xfId="10028"/>
    <cellStyle name="표준 4 5 2 5 4 2 2" xfId="10029"/>
    <cellStyle name="표준 4 5 2 5 4 3" xfId="10030"/>
    <cellStyle name="표준 4 5 2 5 5 2" xfId="10031"/>
    <cellStyle name="표준 4 5 2 5 6" xfId="10032"/>
    <cellStyle name="표준 4 5 2 5 7" xfId="10033"/>
    <cellStyle name="표준 4 5 2 6 3 4" xfId="10034"/>
    <cellStyle name="표준 4 5 2 6 3 2 2" xfId="10035"/>
    <cellStyle name="표준 4 5 2 6 3 3" xfId="10036"/>
    <cellStyle name="표준 4 5 2 6 4 4" xfId="10037"/>
    <cellStyle name="표준 4 5 2 6 4 2 2" xfId="10038"/>
    <cellStyle name="표준 4 5 2 6 4 3" xfId="10039"/>
    <cellStyle name="표준 4 5 2 6 5 2" xfId="10040"/>
    <cellStyle name="표준 4 5 2 6 6" xfId="10041"/>
    <cellStyle name="표준 4 5 2 6 7" xfId="10042"/>
    <cellStyle name="표준 4 5 2 7 4" xfId="10043"/>
    <cellStyle name="표준 4 5 2 7 2 2" xfId="10044"/>
    <cellStyle name="표준 4 5 2 7 3" xfId="10045"/>
    <cellStyle name="표준 4 5 2 8 2" xfId="10046"/>
    <cellStyle name="표준 4 5 2 9" xfId="10047"/>
    <cellStyle name="표준 4 5 2 9 2" xfId="10048"/>
    <cellStyle name="표준 4 5 3 8" xfId="10049"/>
    <cellStyle name="표준 4 5 3 2 4" xfId="10050"/>
    <cellStyle name="표준 4 5 3 2 2 2" xfId="10051"/>
    <cellStyle name="표준 4 5 3 2 3" xfId="10052"/>
    <cellStyle name="표준 4 5 3 3 4" xfId="10053"/>
    <cellStyle name="표준 4 5 3 3 2 2" xfId="10054"/>
    <cellStyle name="표준 4 5 3 3 3" xfId="10055"/>
    <cellStyle name="표준 4 5 3 4 4" xfId="10056"/>
    <cellStyle name="표준 4 5 3 4 2 2" xfId="10057"/>
    <cellStyle name="표준 4 5 3 4 3" xfId="10058"/>
    <cellStyle name="표준 4 5 3 5 2" xfId="10059"/>
    <cellStyle name="표준 4 5 3 6" xfId="10060"/>
    <cellStyle name="표준 4 5 3 7" xfId="10061"/>
    <cellStyle name="표준 4 5 5 2" xfId="10062"/>
    <cellStyle name="표준 4 5 6 2" xfId="10063"/>
    <cellStyle name="표준 4 5 7" xfId="10064"/>
    <cellStyle name="표준 4 6 8" xfId="10065"/>
    <cellStyle name="표준 4 6 2 4" xfId="10066"/>
    <cellStyle name="표준 4 6 2 2 2" xfId="10067"/>
    <cellStyle name="표준 4 6 2 3" xfId="10068"/>
    <cellStyle name="표준 4 6 3 4" xfId="10069"/>
    <cellStyle name="표준 4 6 3 2 2" xfId="10070"/>
    <cellStyle name="표준 4 6 3 3" xfId="10071"/>
    <cellStyle name="표준 4 6 4 4" xfId="10072"/>
    <cellStyle name="표준 4 6 4 2 2" xfId="10073"/>
    <cellStyle name="표준 4 6 4 3" xfId="10074"/>
    <cellStyle name="표준 4 6 5 2" xfId="10075"/>
    <cellStyle name="표준 4 6 6" xfId="10076"/>
    <cellStyle name="표준 4 6 7" xfId="10077"/>
    <cellStyle name="표준 4 7 8" xfId="10078"/>
    <cellStyle name="표준 4 7 2 4" xfId="10079"/>
    <cellStyle name="표준 4 7 2 2 2" xfId="10080"/>
    <cellStyle name="표준 4 7 2 3" xfId="10081"/>
    <cellStyle name="표준 4 7 3 4" xfId="10082"/>
    <cellStyle name="표준 4 7 3 2 2" xfId="10083"/>
    <cellStyle name="표준 4 7 3 3" xfId="10084"/>
    <cellStyle name="표준 4 7 4 4" xfId="10085"/>
    <cellStyle name="표준 4 7 4 2 2" xfId="10086"/>
    <cellStyle name="표준 4 7 4 3" xfId="10087"/>
    <cellStyle name="표준 4 7 5 2" xfId="10088"/>
    <cellStyle name="표준 4 7 6" xfId="10089"/>
    <cellStyle name="표준 4 7 7" xfId="10090"/>
    <cellStyle name="표준 4 8 8" xfId="10091"/>
    <cellStyle name="표준 4 8 2 4" xfId="10092"/>
    <cellStyle name="표준 4 8 2 2 2" xfId="10093"/>
    <cellStyle name="표준 4 8 2 3" xfId="10094"/>
    <cellStyle name="표준 4 8 3 4" xfId="10095"/>
    <cellStyle name="표준 4 8 3 2 2" xfId="10096"/>
    <cellStyle name="표준 4 8 3 3" xfId="10097"/>
    <cellStyle name="표준 4 8 4 4" xfId="10098"/>
    <cellStyle name="표준 4 8 4 2 2" xfId="10099"/>
    <cellStyle name="표준 4 8 4 3" xfId="10100"/>
    <cellStyle name="표준 4 8 5 2" xfId="10101"/>
    <cellStyle name="표준 4 8 6" xfId="10102"/>
    <cellStyle name="표준 4 8 7" xfId="10103"/>
    <cellStyle name="표준 4 9 4" xfId="10104"/>
    <cellStyle name="표준 4 9 2 2" xfId="10105"/>
    <cellStyle name="표준 4 9 3" xfId="10106"/>
    <cellStyle name="표준 40 8" xfId="10107"/>
    <cellStyle name="표준 40 2 5" xfId="10108"/>
    <cellStyle name="표준 40 2 2 6" xfId="10109"/>
    <cellStyle name="표준 40 2 2 2 3" xfId="10110"/>
    <cellStyle name="표준 40 2 2 2 2 2" xfId="10111"/>
    <cellStyle name="표준 40 2 2 3 3" xfId="10112"/>
    <cellStyle name="표준 40 2 2 4 2" xfId="10113"/>
    <cellStyle name="표준 40 2 2 5" xfId="10114"/>
    <cellStyle name="표준 40 2 3 3" xfId="10115"/>
    <cellStyle name="표준 40 2 3 2 2" xfId="10116"/>
    <cellStyle name="표준 40 2 4 2" xfId="10117"/>
    <cellStyle name="표준 40 3 6" xfId="10118"/>
    <cellStyle name="표준 40 3 2 4" xfId="10119"/>
    <cellStyle name="표준 40 3 2 2 2" xfId="10120"/>
    <cellStyle name="표준 40 3 2 3" xfId="10121"/>
    <cellStyle name="표준 40 3 3 2 2" xfId="10122"/>
    <cellStyle name="표준 40 3 4 2" xfId="10123"/>
    <cellStyle name="표준 40 3 5" xfId="10124"/>
    <cellStyle name="표준 40 4 4" xfId="10125"/>
    <cellStyle name="표준 40 4 2 2" xfId="10126"/>
    <cellStyle name="표준 40 4 3" xfId="10127"/>
    <cellStyle name="표준 40 5 4" xfId="10128"/>
    <cellStyle name="표준 40 5 2 2" xfId="10129"/>
    <cellStyle name="표준 40 5 3" xfId="10130"/>
    <cellStyle name="표준 40 6 2" xfId="10131"/>
    <cellStyle name="표준 40 7" xfId="10132"/>
    <cellStyle name="표준 41 2 4" xfId="10133"/>
    <cellStyle name="표준 41 2 2 3" xfId="10134"/>
    <cellStyle name="표준 41 2 3 2" xfId="10135"/>
    <cellStyle name="표준 41 3 2 4" xfId="10136"/>
    <cellStyle name="표준 41 3 2 2 2" xfId="10137"/>
    <cellStyle name="표준 41 3 2 3" xfId="10138"/>
    <cellStyle name="표준 41 3 4 2" xfId="10139"/>
    <cellStyle name="표준 41 3 5" xfId="10140"/>
    <cellStyle name="표준 41 4 4" xfId="10141"/>
    <cellStyle name="표준 41 4 2 2" xfId="10142"/>
    <cellStyle name="표준 41 4 3" xfId="10143"/>
    <cellStyle name="표준 41 5 4" xfId="10144"/>
    <cellStyle name="표준 41 5 2 2" xfId="10145"/>
    <cellStyle name="표준 41 5 3" xfId="10146"/>
    <cellStyle name="표준 41 6 2" xfId="10147"/>
    <cellStyle name="표준 41 7" xfId="10148"/>
    <cellStyle name="표준 41 8" xfId="10149"/>
    <cellStyle name="표준 42 8" xfId="10150"/>
    <cellStyle name="표준 42 2 4" xfId="10151"/>
    <cellStyle name="표준 42 2 2 2" xfId="10152"/>
    <cellStyle name="표준 42 2 3" xfId="10153"/>
    <cellStyle name="표준 42 3 4" xfId="10154"/>
    <cellStyle name="표준 42 3 2 2" xfId="10155"/>
    <cellStyle name="표준 42 3 3" xfId="10156"/>
    <cellStyle name="표준 42 4 4" xfId="10157"/>
    <cellStyle name="표준 42 4 2 2" xfId="10158"/>
    <cellStyle name="표준 42 4 3" xfId="10159"/>
    <cellStyle name="표준 42 5 2" xfId="10160"/>
    <cellStyle name="표준 42 6" xfId="10161"/>
    <cellStyle name="표준 42 7" xfId="10162"/>
    <cellStyle name="표준 43 8" xfId="10163"/>
    <cellStyle name="표준 43 2 4" xfId="10164"/>
    <cellStyle name="표준 43 2 2 3" xfId="10165"/>
    <cellStyle name="표준 43 3 2 2" xfId="10166"/>
    <cellStyle name="표준 43 4 3" xfId="10167"/>
    <cellStyle name="표준 43 4 2 2" xfId="10168"/>
    <cellStyle name="표준 43 6 2" xfId="10169"/>
    <cellStyle name="표준 43 7" xfId="10170"/>
    <cellStyle name="표준 44 2 4" xfId="10171"/>
    <cellStyle name="표준 44 2 2 2" xfId="10172"/>
    <cellStyle name="표준 44 2 3" xfId="10173"/>
    <cellStyle name="표준 44 4 3" xfId="10174"/>
    <cellStyle name="표준 44 5 3" xfId="10175"/>
    <cellStyle name="표준 45 4 2" xfId="10176"/>
    <cellStyle name="표준 45 2 3" xfId="10177"/>
    <cellStyle name="표준 46 2" xfId="10178"/>
    <cellStyle name="표준 47 4" xfId="10179"/>
    <cellStyle name="표준 47 2 2" xfId="10180"/>
    <cellStyle name="표준 47 3" xfId="10181"/>
    <cellStyle name="표준 48 4" xfId="10182"/>
    <cellStyle name="표준 48 2 2" xfId="10183"/>
    <cellStyle name="표준 48 3" xfId="10184"/>
    <cellStyle name="표준 49 2 3" xfId="10185"/>
    <cellStyle name="표준 49 3 3" xfId="10186"/>
    <cellStyle name="표준 5 9" xfId="10187"/>
    <cellStyle name="표준 5 2 9" xfId="10188"/>
    <cellStyle name="표준 5 2 2 7" xfId="10189"/>
    <cellStyle name="표준 5 2 2 2 3" xfId="10190"/>
    <cellStyle name="표준 5 2 2 2 2" xfId="10191"/>
    <cellStyle name="표준 5 2 2 3" xfId="10192"/>
    <cellStyle name="표준 5 2 2 4" xfId="10193"/>
    <cellStyle name="표준 5 2 2 5" xfId="10194"/>
    <cellStyle name="표준 5 2 2 6" xfId="10195"/>
    <cellStyle name="표준 5 2 3 4" xfId="10196"/>
    <cellStyle name="표준 5 2 3 2 2" xfId="10197"/>
    <cellStyle name="표준 5 2 3 3" xfId="10198"/>
    <cellStyle name="표준 5 2 4 4" xfId="10199"/>
    <cellStyle name="표준 5 2 4 2 2" xfId="10200"/>
    <cellStyle name="표준 5 2 4 3" xfId="10201"/>
    <cellStyle name="표준 5 2 5 2" xfId="10202"/>
    <cellStyle name="표준 5 2 6" xfId="10203"/>
    <cellStyle name="표준 5 2 7" xfId="10204"/>
    <cellStyle name="표준 5 2 8" xfId="10205"/>
    <cellStyle name="표준 5 3 4" xfId="10206"/>
    <cellStyle name="표준 5 3 2 2" xfId="10207"/>
    <cellStyle name="표준 5 3 3" xfId="10208"/>
    <cellStyle name="표준 5 4 4" xfId="10209"/>
    <cellStyle name="표준 5 4 2 2" xfId="10210"/>
    <cellStyle name="표준 5 4 3" xfId="10211"/>
    <cellStyle name="표준 5 5 4" xfId="10212"/>
    <cellStyle name="표준 5 5 2 2" xfId="10213"/>
    <cellStyle name="표준 5 5 3" xfId="10214"/>
    <cellStyle name="표준 5 6 2" xfId="10215"/>
    <cellStyle name="표준 5 7" xfId="10216"/>
    <cellStyle name="표준 5 8" xfId="10217"/>
    <cellStyle name="표준 50 4" xfId="10218"/>
    <cellStyle name="표준 50 2 2" xfId="10219"/>
    <cellStyle name="표준 50 3" xfId="10220"/>
    <cellStyle name="표준 51 2 2" xfId="10221"/>
    <cellStyle name="표준 53 2" xfId="10222"/>
    <cellStyle name="표준 6 10" xfId="10223"/>
    <cellStyle name="표준 6 2 10" xfId="10224"/>
    <cellStyle name="표준 6 2 2 8" xfId="10225"/>
    <cellStyle name="표준 6 2 2 2 4" xfId="10226"/>
    <cellStyle name="표준 6 2 2 3 4" xfId="10227"/>
    <cellStyle name="표준 6 2 2 4 4" xfId="10228"/>
    <cellStyle name="표준 6 2 2 7" xfId="10229"/>
    <cellStyle name="표준 6 2 3 8" xfId="10230"/>
    <cellStyle name="표준 6 2 3 2 4" xfId="10231"/>
    <cellStyle name="표준 6 2 3 3 4" xfId="10232"/>
    <cellStyle name="표준 6 2 3 4 4" xfId="10233"/>
    <cellStyle name="표준 6 2 3 7" xfId="10234"/>
    <cellStyle name="표준 6 2 4 4" xfId="10235"/>
    <cellStyle name="표준 6 2 5 4" xfId="10236"/>
    <cellStyle name="표준 6 2 6 4" xfId="10237"/>
    <cellStyle name="표준 6 2 8" xfId="10238"/>
    <cellStyle name="표준 6 2 9" xfId="10239"/>
    <cellStyle name="표준 6 3 3 2" xfId="10240"/>
    <cellStyle name="표준 6 3 4 2" xfId="10241"/>
    <cellStyle name="표준 6 3 5" xfId="10242"/>
    <cellStyle name="표준 6 4 8" xfId="10243"/>
    <cellStyle name="표준 6 4 2 4" xfId="10244"/>
    <cellStyle name="표준 6 4 3 4" xfId="10245"/>
    <cellStyle name="표준 6 4 4 4" xfId="10246"/>
    <cellStyle name="표준 6 4 7" xfId="10247"/>
    <cellStyle name="표준 6 6 4" xfId="10248"/>
    <cellStyle name="표준 6 7 4" xfId="10249"/>
    <cellStyle name="표준 6 9" xfId="10250"/>
    <cellStyle name="표준 7 8" xfId="10251"/>
    <cellStyle name="표준 7 2 4" xfId="10252"/>
    <cellStyle name="표준 7 3 4" xfId="10253"/>
    <cellStyle name="표준 7 4 4" xfId="10254"/>
    <cellStyle name="표준 7 7" xfId="10255"/>
    <cellStyle name="표준 8 2 2 8" xfId="10256"/>
    <cellStyle name="표준 8 2 2 2 4" xfId="10257"/>
    <cellStyle name="표준 8 2 2 3 4" xfId="10258"/>
    <cellStyle name="표준 8 2 2 4 4" xfId="10259"/>
    <cellStyle name="표준 8 2 2 7" xfId="10260"/>
    <cellStyle name="표준 8 2 3 3 2" xfId="10261"/>
    <cellStyle name="표준 8 2 3 4 2" xfId="10262"/>
    <cellStyle name="표준 8 2 3 5" xfId="10263"/>
    <cellStyle name="표준 8 2 4 4" xfId="10264"/>
    <cellStyle name="표준 8 2 5 4" xfId="10265"/>
    <cellStyle name="표준 8 2 6 4" xfId="10266"/>
    <cellStyle name="표준 8 2 8" xfId="10267"/>
    <cellStyle name="표준 8 2 9" xfId="10268"/>
    <cellStyle name="표준 8 3 3 2 2" xfId="10269"/>
    <cellStyle name="표준 8 4 9 2" xfId="10270"/>
    <cellStyle name="표준 8 4 2 6 2" xfId="10271"/>
    <cellStyle name="표준 8 8" xfId="10272"/>
    <cellStyle name="표준 9 10" xfId="10273"/>
    <cellStyle name="표준 9 4 9" xfId="10274"/>
    <cellStyle name="표준 9 4 2 6" xfId="10275"/>
    <cellStyle name="표준 9 4 2 4" xfId="10276"/>
    <cellStyle name="표준 9 4 2 5" xfId="10277"/>
    <cellStyle name="표준 9 4 3 4" xfId="10278"/>
    <cellStyle name="표준 9 4 4 4" xfId="10279"/>
    <cellStyle name="표준 9 4 7" xfId="10280"/>
    <cellStyle name="표준 9 4 8" xfId="10281"/>
    <cellStyle name="표준 57 8" xfId="10282"/>
    <cellStyle name="표준 59 4" xfId="10283"/>
    <cellStyle name="표준 57 3 4" xfId="10284"/>
    <cellStyle name="표준 57 6" xfId="10285"/>
    <cellStyle name="표준 57 4 3" xfId="10286"/>
    <cellStyle name="표준 59 2" xfId="10287"/>
    <cellStyle name="표준 57 3 2" xfId="10288"/>
    <cellStyle name="표준 57 5 3" xfId="10289"/>
    <cellStyle name="표준 51 2 3" xfId="10290"/>
    <cellStyle name="표준 52 2 3" xfId="10291"/>
    <cellStyle name="표준 57 7" xfId="10292"/>
    <cellStyle name="표준 57 4 2" xfId="10293"/>
    <cellStyle name="표준 59 3" xfId="10294"/>
    <cellStyle name="표준 57 3 3" xfId="10295"/>
    <cellStyle name="표준 57 5 2" xfId="10296"/>
    <cellStyle name="표준 51 2 2 2" xfId="10297"/>
    <cellStyle name="표준 52 2 2" xfId="10298"/>
    <cellStyle name="Note 2 15" xfId="10299"/>
    <cellStyle name="Note 2 2 14" xfId="10300"/>
    <cellStyle name="Note 3 15" xfId="10301"/>
    <cellStyle name="Note 3 2 14" xfId="10302"/>
    <cellStyle name="Note 4 15" xfId="10303"/>
    <cellStyle name="Note 4 2 14" xfId="10304"/>
    <cellStyle name="표준 44 4 2 2" xfId="10305"/>
    <cellStyle name="표준 44 5 2 2" xfId="10306"/>
    <cellStyle name="표준 44 6 2" xfId="10307"/>
    <cellStyle name="표준 45 2 2 2" xfId="10308"/>
    <cellStyle name="표준 45 3 3 3" xfId="10309"/>
    <cellStyle name="표준 45 3 3 2 2" xfId="10310"/>
    <cellStyle name="표준 49 2 2 2" xfId="10311"/>
    <cellStyle name="표준 49 3 2 2" xfId="10312"/>
    <cellStyle name="표준 49 4 2" xfId="10313"/>
    <cellStyle name="표준 52 2 4" xfId="10314"/>
    <cellStyle name="표준 54 2" xfId="10315"/>
    <cellStyle name="표준 55 2" xfId="10316"/>
    <cellStyle name="표준 57 9" xfId="10317"/>
    <cellStyle name="표준 57 2 2" xfId="10318"/>
    <cellStyle name="표준 57 3 5" xfId="10319"/>
    <cellStyle name="표준 57 4 4" xfId="10320"/>
    <cellStyle name="표준 57 5 4" xfId="10321"/>
    <cellStyle name="표준 59 5" xfId="10322"/>
    <cellStyle name="표준 8 3 2 4 2" xfId="10323"/>
    <cellStyle name="표준 8 3 3 4 2" xfId="10324"/>
    <cellStyle name="표준 8 3 4 4 2" xfId="10325"/>
    <cellStyle name="표준 8 3 7 2" xfId="10326"/>
    <cellStyle name="표준 8 3 8" xfId="10327"/>
    <cellStyle name="표준 8 4 10" xfId="10328"/>
    <cellStyle name="표준 8 4 3 6 2" xfId="10329"/>
    <cellStyle name="표준 8 4 4 6 2" xfId="10330"/>
    <cellStyle name="표준 8 5 6 2" xfId="10331"/>
    <cellStyle name="표준 8 6 4 2" xfId="10332"/>
    <cellStyle name="표준 8 7 4 2" xfId="10333"/>
    <cellStyle name="표준 9 2 2 4 2" xfId="10334"/>
    <cellStyle name="표준 9 2 3 4 2" xfId="10335"/>
    <cellStyle name="표준 9 2 4 4 2" xfId="10336"/>
    <cellStyle name="표준 9 2 7 2" xfId="10337"/>
    <cellStyle name="표준 9 2 8" xfId="10338"/>
    <cellStyle name="표준 9 3 10" xfId="10339"/>
    <cellStyle name="표준 9 3 2 6 2" xfId="10340"/>
    <cellStyle name="표준 9 3 3 6 2" xfId="10341"/>
    <cellStyle name="표준 9 3 4 6 2" xfId="10342"/>
    <cellStyle name="표준 9 3 9 2" xfId="10343"/>
    <cellStyle name="표준 9 5 6 2" xfId="10344"/>
    <cellStyle name="표준 9 6 6 2" xfId="10345"/>
    <cellStyle name="표준 9 7 6 2" xfId="10346"/>
    <cellStyle name="표준 65" xfId="10347"/>
    <cellStyle name="표준 64" xfId="10348"/>
    <cellStyle name="표준 49 7" xfId="10349"/>
    <cellStyle name="표준 63 2" xfId="10350"/>
    <cellStyle name="표준 77" xfId="10351"/>
    <cellStyle name="표준 57 10" xfId="10352"/>
    <cellStyle name="표준 57 4 5" xfId="10353"/>
    <cellStyle name="표준 59 6" xfId="10354"/>
    <cellStyle name="표준 57 3 6" xfId="10355"/>
    <cellStyle name="표준 57 5 5" xfId="10356"/>
    <cellStyle name="표준 51 2 4" xfId="10357"/>
    <cellStyle name="표준 52 2 5" xfId="10358"/>
    <cellStyle name="표준 61 2" xfId="10359"/>
    <cellStyle name="표준 57 8 2" xfId="10360"/>
    <cellStyle name="표준 59 4 2" xfId="10361"/>
    <cellStyle name="표준 57 3 4 2" xfId="10362"/>
    <cellStyle name="표준 57 6 2" xfId="10363"/>
    <cellStyle name="표준 57 4 3 2" xfId="10364"/>
    <cellStyle name="표준 59 2 2" xfId="10365"/>
    <cellStyle name="표준 57 3 2 2" xfId="10366"/>
    <cellStyle name="표준 57 5 3 2" xfId="10367"/>
    <cellStyle name="표준 51 2 3 2" xfId="10368"/>
    <cellStyle name="표준 52 2 3 2" xfId="10369"/>
    <cellStyle name="표준 57 7 2" xfId="10370"/>
    <cellStyle name="표준 57 4 2 2" xfId="10371"/>
    <cellStyle name="표준 59 3 2" xfId="10372"/>
    <cellStyle name="표준 57 3 3 2" xfId="10373"/>
    <cellStyle name="표준 57 5 2 2" xfId="10374"/>
    <cellStyle name="표준 51 2 2 2 2" xfId="10375"/>
    <cellStyle name="표준 52 2 2 2" xfId="10376"/>
    <cellStyle name="표준 72" xfId="10377"/>
    <cellStyle name="표준 81" xfId="10378"/>
    <cellStyle name="표준 83" xfId="10379"/>
    <cellStyle name="Normal 15" xfId="10380"/>
    <cellStyle name="표준 51 5" xfId="10381"/>
    <cellStyle name="표준 70 6" xfId="10382"/>
    <cellStyle name="표준 51 8 2 2" xfId="10383"/>
    <cellStyle name="표준 74" xfId="10384"/>
    <cellStyle name="표준 50 2 2 2 2 2" xfId="10385"/>
    <cellStyle name="표준 68" xfId="10386"/>
    <cellStyle name="표준 58 7" xfId="1038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Koreaengi64\Public\Engineering\DATA%20BASE\VENDOR%20DB%20BACKUP\&#51088;&#51116;&#52636;&#44256;&#54869;&#51064;&#49436;\&#54788;&#51109;&#52636;&#44256;\8-204%20Kingston%20%233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1809EXL"/>
      <sheetName val="OPTION"/>
      <sheetName val="DB"/>
      <sheetName val="자재실리스트"/>
      <sheetName val="BA작업자분리스트"/>
      <sheetName val="FA작업자분리스트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O313"/>
  <sheetViews>
    <sheetView tabSelected="1" zoomScaleNormal="100" workbookViewId="0">
      <pane ySplit="13" topLeftCell="A14" activePane="bottomLeft" state="frozen"/>
      <selection pane="bottomLeft" activeCell="F21" sqref="F21"/>
    </sheetView>
  </sheetViews>
  <sheetFormatPr baseColWidth="8" defaultColWidth="7.109375" defaultRowHeight="12" customHeight="1" outlineLevelCol="0"/>
  <cols>
    <col width="11.5" bestFit="1" customWidth="1" style="114" min="1" max="1"/>
    <col width="8" customWidth="1" style="4" min="2" max="2"/>
    <col width="5.5" customWidth="1" style="4" min="3" max="3"/>
    <col width="10.5" customWidth="1" style="114" min="4" max="4"/>
    <col hidden="1" width="4.5" bestFit="1" customWidth="1" style="4" min="5" max="5"/>
    <col hidden="1" width="2.5" bestFit="1" customWidth="1" style="4" min="6" max="6"/>
    <col hidden="1" width="9.5" customWidth="1" style="114" min="7" max="7"/>
    <col hidden="1" width="10.5" customWidth="1" style="114" min="8" max="8"/>
    <col hidden="1" width="12.5" bestFit="1" customWidth="1" style="114" min="9" max="9"/>
    <col hidden="1" width="12.5" customWidth="1" style="114" min="10" max="10"/>
    <col hidden="1" width="10.5" bestFit="1" customWidth="1" style="114" min="11" max="11"/>
    <col width="50.5" bestFit="1" customWidth="1" style="4" min="12" max="12"/>
    <col width="16.5" customWidth="1" style="114" min="13" max="13"/>
    <col width="3.5" customWidth="1" style="114" min="14" max="14"/>
    <col width="3.5" customWidth="1" style="4" min="15" max="15"/>
    <col width="3.5" bestFit="1" customWidth="1" style="2" min="16" max="16"/>
    <col width="3.5" customWidth="1" style="2" min="17" max="16384"/>
    <col width="7.5" customWidth="1" style="121" min="18" max="18"/>
    <col width="19.5" customWidth="1" style="121" min="19" max="19"/>
    <col width="4.5" customWidth="1" style="121" min="20" max="20"/>
    <col width="20.5" customWidth="1" style="121" min="21" max="21"/>
    <col width="14.5" customWidth="1" style="121" min="22" max="22"/>
    <col width="4.5" customWidth="1" style="121" min="23" max="23"/>
    <col width="10.5" customWidth="1" style="121" min="24" max="24"/>
    <col width="2.5" customWidth="1" style="121" min="25" max="25"/>
    <col width="2.5" customWidth="1" style="121" min="26" max="26"/>
    <col width="8" customWidth="1" style="121" min="27" max="27"/>
    <col width="8" customWidth="1" style="121" min="28" max="28"/>
    <col width="8" customWidth="1" style="121" min="29" max="29"/>
    <col width="8" customWidth="1" style="121" min="30" max="30"/>
    <col width="8" customWidth="1" style="121" min="31" max="31"/>
    <col width="8" customWidth="1" style="121" min="32" max="32"/>
    <col width="8" customWidth="1" style="121" min="33" max="33"/>
    <col width="8" customWidth="1" style="121" min="34" max="34"/>
    <col width="8" customWidth="1" style="121" min="35" max="35"/>
    <col width="8" customWidth="1" style="121" min="36" max="36"/>
    <col width="8" customWidth="1" style="121" min="37" max="37"/>
    <col width="8" customWidth="1" style="121" min="38" max="38"/>
    <col width="8" customWidth="1" style="121" min="39" max="39"/>
    <col width="8" customWidth="1" style="121" min="40" max="40"/>
    <col width="8" customWidth="1" style="121" min="41" max="41"/>
  </cols>
  <sheetData>
    <row r="1" ht="12" customFormat="1" customHeight="1" s="2">
      <c r="A1" s="5" t="inlineStr">
        <is>
          <t>To:</t>
        </is>
      </c>
      <c r="B1" s="115" t="inlineStr">
        <is>
          <t>생산팀/구매팀/자재팀/세창산업</t>
        </is>
      </c>
      <c r="L1" s="109" t="inlineStr">
        <is>
          <t>NOTES</t>
        </is>
      </c>
      <c r="N1" s="90" t="inlineStr">
        <is>
          <t>REV</t>
        </is>
      </c>
      <c r="O1" s="90" t="inlineStr">
        <is>
          <t>CHANGE</t>
        </is>
      </c>
      <c r="U1" s="90" t="inlineStr">
        <is>
          <t>Date</t>
        </is>
      </c>
      <c r="V1" s="90" t="inlineStr">
        <is>
          <t>Revised By</t>
        </is>
      </c>
      <c r="W1" s="82" t="inlineStr">
        <is>
          <t>ERS</t>
        </is>
      </c>
    </row>
    <row r="2" ht="12" customFormat="1" customHeight="1" s="2">
      <c r="A2" s="6" t="inlineStr">
        <is>
          <t>cc:</t>
        </is>
      </c>
      <c r="B2" s="8" t="n"/>
      <c r="L2" s="116" t="n"/>
      <c r="N2" s="90" t="inlineStr">
        <is>
          <t>R1</t>
        </is>
      </c>
      <c r="O2" s="109" t="inlineStr">
        <is>
          <t>ELECTRICAL CLEAN UPS</t>
        </is>
      </c>
      <c r="U2" s="117" t="n">
        <v>45880</v>
      </c>
      <c r="V2" s="90" t="inlineStr">
        <is>
          <t>VENKATESH</t>
        </is>
      </c>
      <c r="W2" s="82" t="inlineStr">
        <is>
          <t>X</t>
        </is>
      </c>
    </row>
    <row r="3" ht="12" customFormat="1" customHeight="1" s="2">
      <c r="A3" s="6" t="inlineStr">
        <is>
          <t>From:</t>
        </is>
      </c>
      <c r="B3" s="91" t="inlineStr">
        <is>
          <t>JWON KIM / VENKATESH</t>
        </is>
      </c>
      <c r="L3" s="116" t="inlineStr">
        <is>
          <t>External Cooling Module with Perforated End Panel</t>
        </is>
      </c>
      <c r="N3" s="90" t="n"/>
      <c r="O3" s="109" t="n"/>
      <c r="U3" s="117" t="n"/>
      <c r="V3" s="90" t="n"/>
      <c r="W3" s="82" t="n"/>
    </row>
    <row r="4" ht="12" customFormat="1" customHeight="1" s="2">
      <c r="A4" s="6" t="inlineStr">
        <is>
          <t>Date:</t>
        </is>
      </c>
      <c r="B4" s="118" t="n">
        <v>45877</v>
      </c>
      <c r="L4" s="116" t="n"/>
      <c r="N4" s="90" t="n"/>
      <c r="O4" s="109" t="n"/>
      <c r="U4" s="117" t="n"/>
      <c r="V4" s="90" t="n"/>
      <c r="W4" s="82" t="n"/>
    </row>
    <row r="5" ht="12" customFormat="1" customHeight="1" s="2">
      <c r="A5" s="6" t="inlineStr">
        <is>
          <t xml:space="preserve">CO: </t>
        </is>
      </c>
      <c r="B5" s="91" t="n">
        <v>527559</v>
      </c>
      <c r="L5" s="116" t="inlineStr">
        <is>
          <t>TO. 세창산업 (ECN 250251, 250245 BASE FRAME 최신 적용)</t>
        </is>
      </c>
      <c r="N5" s="90" t="n"/>
      <c r="O5" s="109" t="n"/>
      <c r="U5" s="117" t="n"/>
      <c r="V5" s="90" t="n"/>
      <c r="W5" s="82" t="n"/>
    </row>
    <row r="6" ht="12" customFormat="1" customHeight="1" s="2">
      <c r="A6" s="6" t="inlineStr">
        <is>
          <t>Oven Level</t>
        </is>
      </c>
      <c r="B6" s="91" t="inlineStr">
        <is>
          <t>LEVEL 1</t>
        </is>
      </c>
      <c r="L6" s="110" t="inlineStr">
        <is>
          <t>5900072 도면 REV_B</t>
        </is>
      </c>
      <c r="M6" s="111" t="n"/>
      <c r="N6" s="90" t="n"/>
      <c r="O6" s="109" t="n"/>
      <c r="U6" s="117" t="n"/>
      <c r="V6" s="90" t="n"/>
      <c r="W6" s="82" t="n"/>
    </row>
    <row r="7" ht="12" customFormat="1" customHeight="1" s="2">
      <c r="A7" s="6" t="inlineStr">
        <is>
          <t>Model</t>
        </is>
      </c>
      <c r="B7" s="91" t="inlineStr">
        <is>
          <t>1810MK5A</t>
        </is>
      </c>
      <c r="L7" s="110" t="inlineStr">
        <is>
          <t xml:space="preserve">5900073 도면 REV_M 적용 </t>
        </is>
      </c>
      <c r="M7" s="111" t="n"/>
      <c r="N7" s="90" t="n"/>
      <c r="O7" s="109" t="n"/>
      <c r="U7" s="117" t="n"/>
      <c r="V7" s="90" t="n"/>
      <c r="W7" s="82" t="n"/>
    </row>
    <row r="8" ht="12" customFormat="1" customHeight="1" s="114">
      <c r="A8" s="7" t="inlineStr">
        <is>
          <t>S-No</t>
        </is>
      </c>
      <c r="B8" s="119" t="inlineStr">
        <is>
          <t>623A   1701   2000   0000   000B</t>
        </is>
      </c>
      <c r="L8" s="120" t="n"/>
      <c r="N8" s="90" t="n"/>
      <c r="O8" s="109" t="n"/>
      <c r="U8" s="117" t="n"/>
      <c r="V8" s="90" t="n"/>
      <c r="W8" s="82" t="n"/>
    </row>
    <row r="9" ht="12.6" customFormat="1" customHeight="1" s="114">
      <c r="A9" s="90" t="inlineStr">
        <is>
          <t xml:space="preserve">CO </t>
        </is>
      </c>
      <c r="B9" s="90">
        <f>B5</f>
        <v/>
      </c>
      <c r="C9" s="89" t="inlineStr">
        <is>
          <t>ASSEMBLY NAME:</t>
        </is>
      </c>
      <c r="L9" s="82" t="inlineStr">
        <is>
          <t>Basler Electric #1_USA</t>
        </is>
      </c>
      <c r="N9" s="90" t="inlineStr">
        <is>
          <t>BM:</t>
        </is>
      </c>
      <c r="O9" s="82" t="inlineStr">
        <is>
          <t>1809MK5K</t>
        </is>
      </c>
      <c r="S9" s="90" t="n"/>
      <c r="U9" s="8" t="n"/>
      <c r="V9" s="90" t="n"/>
      <c r="W9" s="91" t="n"/>
    </row>
    <row r="10" ht="12" customFormat="1" customHeight="1" s="2">
      <c r="A10" s="90" t="inlineStr">
        <is>
          <t>MODEL:</t>
        </is>
      </c>
      <c r="B10" s="90">
        <f>B7</f>
        <v/>
      </c>
      <c r="L10" s="89" t="inlineStr">
        <is>
          <t>PREPARED BY:</t>
        </is>
      </c>
      <c r="M10" s="90">
        <f>B3</f>
        <v/>
      </c>
      <c r="N10" s="90" t="inlineStr">
        <is>
          <t>RECEIVED FROM</t>
        </is>
      </c>
      <c r="P10" s="90" t="n"/>
      <c r="S10" s="90" t="inlineStr">
        <is>
          <t>RELEASE REVISION</t>
        </is>
      </c>
      <c r="T10" s="90" t="inlineStr">
        <is>
          <t>R1</t>
        </is>
      </c>
      <c r="U10" s="8" t="n"/>
      <c r="V10" s="90" t="n"/>
      <c r="W10" s="91" t="n"/>
    </row>
    <row r="11" ht="12" customFormat="1" customHeight="1" s="2">
      <c r="A11" s="8" t="inlineStr">
        <is>
          <t>ACTION</t>
        </is>
      </c>
      <c r="B11" s="8" t="inlineStr">
        <is>
          <t>LV</t>
        </is>
      </c>
      <c r="C11" s="8" t="inlineStr">
        <is>
          <t>US</t>
        </is>
      </c>
      <c r="D11" s="8" t="inlineStr">
        <is>
          <t>PN</t>
        </is>
      </c>
      <c r="E11" t="inlineStr">
        <is>
          <t>E</t>
        </is>
      </c>
      <c r="F11" t="inlineStr">
        <is>
          <t>F</t>
        </is>
      </c>
      <c r="G11" t="inlineStr">
        <is>
          <t>G</t>
        </is>
      </c>
      <c r="H11" t="inlineStr">
        <is>
          <t>H</t>
        </is>
      </c>
      <c r="I11" t="inlineStr">
        <is>
          <t>I</t>
        </is>
      </c>
      <c r="J11" t="inlineStr">
        <is>
          <t>J</t>
        </is>
      </c>
      <c r="K11" t="inlineStr">
        <is>
          <t>K</t>
        </is>
      </c>
      <c r="L11" s="8" t="inlineStr">
        <is>
          <t>DESCRIPTION</t>
        </is>
      </c>
      <c r="M11" s="8" t="inlineStr">
        <is>
          <t>DRAWING No.</t>
        </is>
      </c>
      <c r="N11" s="8" t="inlineStr">
        <is>
          <t>QTY</t>
        </is>
      </c>
      <c r="O11" s="8" t="inlineStr">
        <is>
          <t>P-QTY</t>
        </is>
      </c>
      <c r="P11" s="8" t="inlineStr">
        <is>
          <t>UNIT</t>
        </is>
      </c>
      <c r="Q11" s="8" t="inlineStr">
        <is>
          <t>IT</t>
        </is>
      </c>
      <c r="R11" s="8" t="inlineStr">
        <is>
          <t>KITID</t>
        </is>
      </c>
      <c r="S11" s="8" t="inlineStr">
        <is>
          <t>COMMENTS</t>
        </is>
      </c>
      <c r="T11" s="8" t="inlineStr">
        <is>
          <t>REV</t>
        </is>
      </c>
      <c r="U11" s="8" t="inlineStr">
        <is>
          <t>Engineer</t>
        </is>
      </c>
      <c r="V11" s="90" t="inlineStr">
        <is>
          <t>Revision Type</t>
        </is>
      </c>
      <c r="W11" s="91" t="inlineStr">
        <is>
          <t>SPL</t>
        </is>
      </c>
      <c r="X11" s="122" t="inlineStr">
        <is>
          <t>X</t>
        </is>
      </c>
      <c r="Y11" s="122" t="inlineStr">
        <is>
          <t>Y</t>
        </is>
      </c>
      <c r="Z11" s="122" t="inlineStr">
        <is>
          <t>Z</t>
        </is>
      </c>
    </row>
    <row r="12" hidden="1" ht="12" customFormat="1" customHeight="1" s="2">
      <c r="A12" s="57" t="n"/>
      <c r="B12" s="58" t="inlineStr">
        <is>
          <t>1</t>
        </is>
      </c>
      <c r="C12" s="58" t="inlineStr">
        <is>
          <t>0005</t>
        </is>
      </c>
      <c r="D12" s="57" t="n">
        <v>59699101</v>
      </c>
      <c r="E12" t="n">
        <v>6</v>
      </c>
      <c r="F12" t="n">
        <v>5</v>
      </c>
      <c r="G12" t="inlineStr">
        <is>
          <t>80185</t>
        </is>
      </c>
      <c r="H12" t="inlineStr">
        <is>
          <t>580185</t>
        </is>
      </c>
      <c r="I12" t="n">
        <v>580185</v>
      </c>
      <c r="J12" t="n">
        <v>580185</v>
      </c>
      <c r="K12" t="n">
        <v>580185</v>
      </c>
      <c r="L12" s="58" t="inlineStr">
        <is>
          <t>EXTERNAL COOL (NO CE) AIR,LR</t>
        </is>
      </c>
      <c r="M12" s="58" t="inlineStr">
        <is>
          <t>BM59699101 **</t>
        </is>
      </c>
      <c r="N12" s="57" t="n">
        <v>1</v>
      </c>
      <c r="O12" s="57" t="n"/>
      <c r="P12" s="57" t="inlineStr">
        <is>
          <t>EA</t>
        </is>
      </c>
      <c r="Q12" s="57" t="n">
        <v>0</v>
      </c>
      <c r="R12" s="57" t="n"/>
      <c r="S12" s="59" t="n"/>
      <c r="T12" s="43" t="n"/>
      <c r="U12" s="43" t="n"/>
      <c r="V12" s="43" t="n"/>
      <c r="W12" s="44">
        <f>IF(AND(LEN(D15)&gt;=6,OR(LEFT(D15,1)="4",LEFT(D15,1)="5"),K15="9DRWM"),"SDRWM","")</f>
        <v/>
      </c>
      <c r="X12" s="123" t="inlineStr">
        <is>
          <t>580185</t>
        </is>
      </c>
      <c r="Y12" s="122" t="n"/>
      <c r="Z12" s="122" t="n"/>
    </row>
    <row r="13" ht="12" customFormat="1" customHeight="1" s="2">
      <c r="A13" s="60" t="n"/>
      <c r="B13" s="61" t="inlineStr">
        <is>
          <t>...4</t>
        </is>
      </c>
      <c r="C13" s="61" t="inlineStr">
        <is>
          <t>0150</t>
        </is>
      </c>
      <c r="D13" s="60" t="n">
        <v>580185</v>
      </c>
      <c r="E13" t="n">
        <v>6</v>
      </c>
      <c r="F13" t="n">
        <v>5</v>
      </c>
      <c r="G13" t="inlineStr">
        <is>
          <t>80366</t>
        </is>
      </c>
      <c r="H13" t="inlineStr">
        <is>
          <t>580366</t>
        </is>
      </c>
      <c r="I13" t="n">
        <v>580366</v>
      </c>
      <c r="J13" t="n">
        <v>580366</v>
      </c>
      <c r="K13" t="n">
        <v>580366</v>
      </c>
      <c r="L13" s="61" t="inlineStr">
        <is>
          <t>COVER EXHAUST (4 INTO 1)</t>
        </is>
      </c>
      <c r="M13" s="61" t="inlineStr">
        <is>
          <t>A  580185  R 00</t>
        </is>
      </c>
      <c r="N13" s="60" t="n">
        <v>1</v>
      </c>
      <c r="O13" s="60" t="n"/>
      <c r="P13" s="60" t="inlineStr">
        <is>
          <t>EA</t>
        </is>
      </c>
      <c r="Q13" s="60" t="n">
        <v>4</v>
      </c>
      <c r="R13" s="60" t="inlineStr">
        <is>
          <t>KITM</t>
        </is>
      </c>
      <c r="S13" s="56" t="n"/>
      <c r="T13" s="12" t="n"/>
      <c r="U13" s="12" t="n"/>
      <c r="V13" s="12" t="n"/>
      <c r="W13" s="91">
        <f>IF(AND(LEN(D16)&gt;=6,OR(LEFT(D16,1)="4",LEFT(D16,1)="5"),K16="9DRWM"),"SDRWM","")</f>
        <v/>
      </c>
      <c r="X13" s="124" t="inlineStr">
        <is>
          <t>580366</t>
        </is>
      </c>
      <c r="Y13" s="122" t="n"/>
      <c r="Z13" s="122" t="n"/>
    </row>
    <row r="14" ht="12" customHeight="1" s="121">
      <c r="A14" s="60" t="n"/>
      <c r="B14" s="61" t="inlineStr">
        <is>
          <t>.2</t>
        </is>
      </c>
      <c r="C14" s="61" t="inlineStr">
        <is>
          <t>0040</t>
        </is>
      </c>
      <c r="D14" s="60" t="n">
        <v>580366</v>
      </c>
      <c r="E14" t="n">
        <v>6</v>
      </c>
      <c r="F14" t="n">
        <v>5</v>
      </c>
      <c r="G14" t="inlineStr">
        <is>
          <t>80453</t>
        </is>
      </c>
      <c r="H14" t="inlineStr">
        <is>
          <t>580453</t>
        </is>
      </c>
      <c r="I14" t="n">
        <v>580453</v>
      </c>
      <c r="J14" t="n">
        <v>580453</v>
      </c>
      <c r="K14" t="n">
        <v>580453</v>
      </c>
      <c r="L14" s="61" t="inlineStr">
        <is>
          <t>DECAL LOCATION</t>
        </is>
      </c>
      <c r="M14" s="61" t="inlineStr">
        <is>
          <t>A580366A   R</t>
        </is>
      </c>
      <c r="N14" s="60" t="n">
        <v>0</v>
      </c>
      <c r="O14" s="60" t="n"/>
      <c r="P14" s="60" t="inlineStr">
        <is>
          <t>RF</t>
        </is>
      </c>
      <c r="Q14" s="60" t="n">
        <v>9</v>
      </c>
      <c r="R14" s="60" t="inlineStr">
        <is>
          <t>9DRWM</t>
        </is>
      </c>
      <c r="S14" s="56" t="n"/>
      <c r="T14" s="12" t="n"/>
      <c r="U14" s="12" t="n"/>
      <c r="V14" s="12" t="n"/>
      <c r="W14" s="91">
        <f>IF(AND(LEN(D17)&gt;=6,OR(LEFT(D17,1)="4",LEFT(D17,1)="5"),K17="9DRWM"),"SDRWM","")</f>
        <v/>
      </c>
      <c r="X14" s="124" t="inlineStr">
        <is>
          <t>580453</t>
        </is>
      </c>
      <c r="Y14" s="122" t="n"/>
      <c r="Z14" s="122" t="n"/>
    </row>
    <row r="15" ht="12" customFormat="1" customHeight="1" s="46">
      <c r="A15" s="60" t="n"/>
      <c r="B15" s="61" t="inlineStr">
        <is>
          <t>.2</t>
        </is>
      </c>
      <c r="C15" s="61" t="inlineStr">
        <is>
          <t>0060</t>
        </is>
      </c>
      <c r="D15" s="60" t="n">
        <v>580453</v>
      </c>
      <c r="L15" s="61" t="inlineStr">
        <is>
          <t>COVER - INTERFACE PATTERN</t>
        </is>
      </c>
      <c r="M15" s="61" t="inlineStr">
        <is>
          <t>A  580453  R  A</t>
        </is>
      </c>
      <c r="N15" s="60" t="n">
        <v>4</v>
      </c>
      <c r="O15" s="60" t="n"/>
      <c r="P15" s="60" t="inlineStr">
        <is>
          <t>EA</t>
        </is>
      </c>
      <c r="Q15" s="60" t="n">
        <v>4</v>
      </c>
      <c r="R15" s="60" t="inlineStr">
        <is>
          <t>KITM</t>
        </is>
      </c>
      <c r="S15" s="56" t="n"/>
      <c r="T15" s="12" t="n"/>
      <c r="U15" s="12" t="n"/>
      <c r="V15" s="12" t="n"/>
      <c r="W15" s="91">
        <f>IF(AND(LEN(D18)&gt;=6,OR(LEFT(D18,1)="4",LEFT(D18,1)="5"),K18="9DRWM"),"SDRWM","")</f>
        <v/>
      </c>
      <c r="X15" s="54" t="n"/>
    </row>
    <row r="16" hidden="1" ht="12" customFormat="1" customHeight="1" s="42">
      <c r="A16" s="60" t="n"/>
      <c r="B16" s="61" t="inlineStr">
        <is>
          <t>.2</t>
        </is>
      </c>
      <c r="C16" s="61" t="inlineStr">
        <is>
          <t>0010</t>
        </is>
      </c>
      <c r="D16" s="60" t="n">
        <v>59387801</v>
      </c>
      <c r="E16" t="n">
        <v>6</v>
      </c>
      <c r="F16" t="n">
        <v>5</v>
      </c>
      <c r="G16" t="inlineStr">
        <is>
          <t>80453</t>
        </is>
      </c>
      <c r="H16" t="inlineStr">
        <is>
          <t>580453</t>
        </is>
      </c>
      <c r="I16" t="n">
        <v>580453</v>
      </c>
      <c r="J16" t="n">
        <v>580453</v>
      </c>
      <c r="K16" t="n">
        <v>580453</v>
      </c>
      <c r="L16" s="61" t="inlineStr">
        <is>
          <t>ECM ASSY (5" IMP), AIR-L/R,MK5</t>
        </is>
      </c>
      <c r="M16" s="61" t="inlineStr">
        <is>
          <t>D 59387801 ** G</t>
        </is>
      </c>
      <c r="N16" s="60" t="n">
        <v>1</v>
      </c>
      <c r="O16" s="60" t="n"/>
      <c r="P16" s="60" t="inlineStr">
        <is>
          <t>EA</t>
        </is>
      </c>
      <c r="Q16" s="60" t="n">
        <v>0</v>
      </c>
      <c r="R16" s="60" t="n"/>
      <c r="S16" s="56" t="n"/>
      <c r="T16" s="12" t="n"/>
      <c r="U16" s="12" t="n"/>
      <c r="V16" s="12" t="n"/>
      <c r="W16" s="91">
        <f>IF(AND(LEN(D19)&gt;=6,OR(LEFT(D19,1)="4",LEFT(D19,1)="5"),K19="9DRWM"),"SDRWM","")</f>
        <v/>
      </c>
      <c r="X16" s="124" t="inlineStr">
        <is>
          <t>580453</t>
        </is>
      </c>
      <c r="Y16" s="122" t="n"/>
      <c r="Z16" s="122" t="n"/>
    </row>
    <row r="17" ht="12" customFormat="1" customHeight="1" s="42">
      <c r="A17" s="60" t="n"/>
      <c r="B17" s="61" t="inlineStr">
        <is>
          <t>..3</t>
        </is>
      </c>
      <c r="C17" s="61" t="inlineStr">
        <is>
          <t>0140</t>
        </is>
      </c>
      <c r="D17" s="60" t="n">
        <v>580453</v>
      </c>
      <c r="E17" t="n">
        <v>6</v>
      </c>
      <c r="F17" t="n">
        <v>5</v>
      </c>
      <c r="G17" t="inlineStr">
        <is>
          <t>81084</t>
        </is>
      </c>
      <c r="H17" t="inlineStr">
        <is>
          <t>581084</t>
        </is>
      </c>
      <c r="I17" t="n">
        <v>581084</v>
      </c>
      <c r="J17" t="n">
        <v>581084</v>
      </c>
      <c r="K17" t="n">
        <v>581084</v>
      </c>
      <c r="L17" s="61" t="inlineStr">
        <is>
          <t>COVER - INTERFACE PATTERN</t>
        </is>
      </c>
      <c r="M17" s="61" t="inlineStr">
        <is>
          <t>A  580453  R  A</t>
        </is>
      </c>
      <c r="N17" s="60" t="n">
        <v>-2</v>
      </c>
      <c r="O17" s="60" t="n"/>
      <c r="P17" s="60" t="inlineStr">
        <is>
          <t>EA</t>
        </is>
      </c>
      <c r="Q17" s="60" t="n">
        <v>4</v>
      </c>
      <c r="R17" s="60" t="inlineStr">
        <is>
          <t>KITM</t>
        </is>
      </c>
      <c r="S17" s="56" t="n"/>
      <c r="T17" s="12" t="n"/>
      <c r="U17" s="12" t="n"/>
      <c r="V17" s="12" t="n"/>
      <c r="W17" s="91">
        <f>IF(AND(LEN(D20)&gt;=6,OR(LEFT(D20,1)="4",LEFT(D20,1)="5"),K20="9DRWM"),"SDRWM","")</f>
        <v/>
      </c>
      <c r="X17" s="124" t="inlineStr">
        <is>
          <t>581084</t>
        </is>
      </c>
      <c r="Y17" s="122" t="n"/>
      <c r="Z17" s="122" t="n"/>
    </row>
    <row r="18" ht="12" customFormat="1" customHeight="1" s="42">
      <c r="A18" s="60" t="n"/>
      <c r="B18" s="61" t="inlineStr">
        <is>
          <t>.2</t>
        </is>
      </c>
      <c r="C18" s="61" t="inlineStr">
        <is>
          <t>0060</t>
        </is>
      </c>
      <c r="D18" s="60" t="n">
        <v>581084</v>
      </c>
      <c r="L18" s="61" t="inlineStr">
        <is>
          <t>WIRE WAY HOLDER</t>
        </is>
      </c>
      <c r="M18" s="61" t="inlineStr">
        <is>
          <t>B 581084   R  D</t>
        </is>
      </c>
      <c r="N18" s="60" t="n">
        <v>10</v>
      </c>
      <c r="O18" s="60" t="n"/>
      <c r="P18" s="60" t="inlineStr">
        <is>
          <t>EA</t>
        </is>
      </c>
      <c r="Q18" s="60" t="n">
        <v>4</v>
      </c>
      <c r="R18" s="60" t="inlineStr">
        <is>
          <t>KITM</t>
        </is>
      </c>
      <c r="S18" s="56" t="n"/>
      <c r="T18" s="12" t="n"/>
      <c r="U18" s="12" t="n"/>
      <c r="V18" s="12" t="n"/>
      <c r="W18" s="91">
        <f>IF(AND(LEN(D21)&gt;=6,OR(LEFT(D21,1)="4",LEFT(D21,1)="5"),K21="9DRWM"),"SDRWM","")</f>
        <v/>
      </c>
      <c r="X18" s="54" t="n"/>
    </row>
    <row r="19" hidden="1" ht="12" customFormat="1" customHeight="1" s="42">
      <c r="A19" s="60" t="n"/>
      <c r="B19" s="61" t="inlineStr">
        <is>
          <t>..3</t>
        </is>
      </c>
      <c r="C19" s="61" t="inlineStr">
        <is>
          <t>0030</t>
        </is>
      </c>
      <c r="D19" s="60" t="n">
        <v>59386401</v>
      </c>
      <c r="E19" t="n">
        <v>6</v>
      </c>
      <c r="F19" t="n">
        <v>5</v>
      </c>
      <c r="G19" t="inlineStr">
        <is>
          <t>81084</t>
        </is>
      </c>
      <c r="H19" t="inlineStr">
        <is>
          <t>581084</t>
        </is>
      </c>
      <c r="I19" t="n">
        <v>581084</v>
      </c>
      <c r="J19" t="n">
        <v>581084</v>
      </c>
      <c r="K19" t="n">
        <v>581084</v>
      </c>
      <c r="L19" s="61" t="inlineStr">
        <is>
          <t>AIR COOL ASSY, EXT COOL, MK5</t>
        </is>
      </c>
      <c r="M19" s="61" t="inlineStr">
        <is>
          <t>D 593864XX R  C</t>
        </is>
      </c>
      <c r="N19" s="60" t="n">
        <v>1</v>
      </c>
      <c r="O19" s="60" t="n"/>
      <c r="P19" s="60" t="inlineStr">
        <is>
          <t>EA</t>
        </is>
      </c>
      <c r="Q19" s="60" t="n">
        <v>0</v>
      </c>
      <c r="R19" s="60" t="n"/>
      <c r="S19" s="56" t="n"/>
      <c r="T19" s="12" t="n"/>
      <c r="U19" s="12" t="n"/>
      <c r="V19" s="12" t="n"/>
      <c r="W19" s="91">
        <f>IF(AND(LEN(D22)&gt;=6,OR(LEFT(D22,1)="4",LEFT(D22,1)="5"),K22="9DRWM"),"SDRWM","")</f>
        <v/>
      </c>
      <c r="X19" s="124" t="inlineStr">
        <is>
          <t>581084</t>
        </is>
      </c>
      <c r="Y19" s="122" t="n"/>
      <c r="Z19" s="122" t="n"/>
    </row>
    <row r="20" ht="12" customFormat="1" customHeight="1" s="42">
      <c r="A20" s="60" t="n"/>
      <c r="B20" s="61" t="inlineStr">
        <is>
          <t>.2</t>
        </is>
      </c>
      <c r="C20" s="61" t="inlineStr">
        <is>
          <t>0200</t>
        </is>
      </c>
      <c r="D20" s="60" t="n">
        <v>581084</v>
      </c>
      <c r="E20" t="n">
        <v>8</v>
      </c>
      <c r="F20" t="n">
        <v>5</v>
      </c>
      <c r="G20" t="inlineStr">
        <is>
          <t>8140002</t>
        </is>
      </c>
      <c r="H20" t="inlineStr">
        <is>
          <t>58140002</t>
        </is>
      </c>
      <c r="I20" t="n">
        <v>58140002</v>
      </c>
      <c r="J20" t="n">
        <v>58140002</v>
      </c>
      <c r="K20" t="n">
        <v>581400</v>
      </c>
      <c r="L20" s="61" t="inlineStr">
        <is>
          <t>WIRE WAY HOLDER</t>
        </is>
      </c>
      <c r="M20" s="61" t="inlineStr">
        <is>
          <t>B 581084   R  D</t>
        </is>
      </c>
      <c r="N20" s="60" t="n">
        <v>11</v>
      </c>
      <c r="O20" s="60" t="n"/>
      <c r="P20" s="60" t="inlineStr">
        <is>
          <t>EA</t>
        </is>
      </c>
      <c r="Q20" s="60" t="n">
        <v>4</v>
      </c>
      <c r="R20" s="60" t="inlineStr">
        <is>
          <t>KITM</t>
        </is>
      </c>
      <c r="S20" s="56" t="n"/>
      <c r="T20" s="12" t="n"/>
      <c r="U20" s="12" t="n"/>
      <c r="V20" s="12" t="n"/>
      <c r="W20" s="91">
        <f>IF(AND(LEN(D23)&gt;=6,OR(LEFT(D23,1)="4",LEFT(D23,1)="5"),K23="9DRWM"),"SDRWM","")</f>
        <v/>
      </c>
      <c r="X20" s="124" t="inlineStr">
        <is>
          <t>58140002</t>
        </is>
      </c>
      <c r="Y20" s="122" t="n"/>
      <c r="Z20" s="122" t="n"/>
    </row>
    <row r="21" ht="12" customFormat="1" customHeight="1" s="42">
      <c r="A21" s="60" t="n"/>
      <c r="B21" s="61" t="inlineStr">
        <is>
          <t>.2</t>
        </is>
      </c>
      <c r="C21" s="61" t="inlineStr">
        <is>
          <t>0290</t>
        </is>
      </c>
      <c r="D21" s="60" t="n">
        <v>58140002</v>
      </c>
      <c r="E21" t="n">
        <v>6</v>
      </c>
      <c r="F21" t="n">
        <v>5</v>
      </c>
      <c r="G21" t="inlineStr">
        <is>
          <t>81411</t>
        </is>
      </c>
      <c r="H21" t="inlineStr">
        <is>
          <t>581411</t>
        </is>
      </c>
      <c r="I21" t="n">
        <v>581411</v>
      </c>
      <c r="J21" t="n">
        <v>581411</v>
      </c>
      <c r="K21" t="n">
        <v>581411</v>
      </c>
      <c r="L21" s="61" t="inlineStr">
        <is>
          <t>CHAIN WEAR STRIP===131 INCHES</t>
        </is>
      </c>
      <c r="M21" s="61" t="inlineStr">
        <is>
          <t>B68140002 AR</t>
        </is>
      </c>
      <c r="N21" s="60" t="n">
        <v>0</v>
      </c>
      <c r="O21" s="60" t="n"/>
      <c r="P21" s="60" t="inlineStr">
        <is>
          <t>EA</t>
        </is>
      </c>
      <c r="Q21" s="60" t="n">
        <v>9</v>
      </c>
      <c r="R21" s="60" t="inlineStr">
        <is>
          <t>9DRWM</t>
        </is>
      </c>
      <c r="S21" s="56" t="n"/>
      <c r="T21" s="12" t="n"/>
      <c r="U21" s="12" t="n"/>
      <c r="V21" s="12" t="n"/>
      <c r="W21" s="91">
        <f>IF(AND(LEN(D24)&gt;=6,OR(LEFT(D24,1)="4",LEFT(D24,1)="5"),K24="9DRWM"),"SDRWM","")</f>
        <v/>
      </c>
      <c r="X21" s="124" t="inlineStr">
        <is>
          <t>581411</t>
        </is>
      </c>
      <c r="Y21" s="122" t="n"/>
      <c r="Z21" s="122" t="n"/>
    </row>
    <row r="22" ht="12" customFormat="1" customHeight="1" s="42">
      <c r="A22" s="60" t="n"/>
      <c r="B22" s="61" t="inlineStr">
        <is>
          <t>....5</t>
        </is>
      </c>
      <c r="C22" s="61" t="inlineStr">
        <is>
          <t>0310</t>
        </is>
      </c>
      <c r="D22" s="60" t="n">
        <v>581411</v>
      </c>
      <c r="E22" t="n">
        <v>6</v>
      </c>
      <c r="F22" t="n">
        <v>5</v>
      </c>
      <c r="G22" t="inlineStr">
        <is>
          <t>81794</t>
        </is>
      </c>
      <c r="H22" t="inlineStr">
        <is>
          <t>581794</t>
        </is>
      </c>
      <c r="I22" t="n">
        <v>581794</v>
      </c>
      <c r="J22" t="n">
        <v>581794</v>
      </c>
      <c r="K22" t="n">
        <v>581794</v>
      </c>
      <c r="L22" s="61" t="inlineStr">
        <is>
          <t>COVER EXHAUST HOLE</t>
        </is>
      </c>
      <c r="M22" s="61" t="inlineStr">
        <is>
          <t>A 581411   R  B</t>
        </is>
      </c>
      <c r="N22" s="60" t="n">
        <v>2</v>
      </c>
      <c r="O22" s="60" t="n"/>
      <c r="P22" s="60" t="inlineStr">
        <is>
          <t>EA</t>
        </is>
      </c>
      <c r="Q22" s="60" t="n">
        <v>4</v>
      </c>
      <c r="R22" s="60" t="inlineStr">
        <is>
          <t>KITM</t>
        </is>
      </c>
      <c r="S22" s="56" t="n"/>
      <c r="T22" s="12" t="n"/>
      <c r="U22" s="12" t="n"/>
      <c r="V22" s="12" t="n"/>
      <c r="W22" s="91">
        <f>IF(AND(LEN(D25)&gt;=6,OR(LEFT(D25,1)="4",LEFT(D25,1)="5"),K25="9DRWM"),"SDRWM","")</f>
        <v/>
      </c>
      <c r="X22" s="124" t="inlineStr">
        <is>
          <t>581794</t>
        </is>
      </c>
      <c r="Y22" s="122" t="n"/>
      <c r="Z22" s="122" t="n"/>
    </row>
    <row r="23" ht="12" customFormat="1" customHeight="1" s="42">
      <c r="A23" s="60" t="n"/>
      <c r="B23" s="61" t="inlineStr">
        <is>
          <t>..3</t>
        </is>
      </c>
      <c r="C23" s="61" t="inlineStr">
        <is>
          <t>0070</t>
        </is>
      </c>
      <c r="D23" s="60" t="n">
        <v>581794</v>
      </c>
      <c r="E23" t="n">
        <v>6</v>
      </c>
      <c r="F23" t="n">
        <v>5</v>
      </c>
      <c r="G23" t="inlineStr">
        <is>
          <t>81840</t>
        </is>
      </c>
      <c r="H23" t="inlineStr">
        <is>
          <t>581840</t>
        </is>
      </c>
      <c r="I23" t="n">
        <v>581840</v>
      </c>
      <c r="J23" t="n">
        <v>581840</v>
      </c>
      <c r="K23" t="n">
        <v>581840</v>
      </c>
      <c r="L23" s="61" t="inlineStr">
        <is>
          <t>LIM SW BRACKET</t>
        </is>
      </c>
      <c r="M23" s="61" t="inlineStr">
        <is>
          <t>A 581794   R  B</t>
        </is>
      </c>
      <c r="N23" s="60" t="n">
        <v>2</v>
      </c>
      <c r="O23" s="60" t="n"/>
      <c r="P23" s="60" t="inlineStr">
        <is>
          <t>EA</t>
        </is>
      </c>
      <c r="Q23" s="60" t="n">
        <v>4</v>
      </c>
      <c r="R23" s="60" t="inlineStr">
        <is>
          <t>KITM</t>
        </is>
      </c>
      <c r="S23" s="56" t="n"/>
      <c r="T23" s="12" t="n"/>
      <c r="U23" s="12" t="n"/>
      <c r="V23" s="12" t="n"/>
      <c r="W23" s="91">
        <f>IF(AND(LEN(D26)&gt;=6,OR(LEFT(D26,1)="4",LEFT(D26,1)="5"),K26="9DRWM"),"SDRWM","")</f>
        <v/>
      </c>
      <c r="X23" s="124" t="inlineStr">
        <is>
          <t>581840</t>
        </is>
      </c>
      <c r="Y23" s="122" t="n"/>
      <c r="Z23" s="122" t="n"/>
    </row>
    <row r="24" ht="12" customFormat="1" customHeight="1" s="42">
      <c r="A24" s="60" t="n"/>
      <c r="B24" s="61" t="inlineStr">
        <is>
          <t>.....6</t>
        </is>
      </c>
      <c r="C24" s="61" t="inlineStr">
        <is>
          <t>0040</t>
        </is>
      </c>
      <c r="D24" s="60" t="n">
        <v>581840</v>
      </c>
      <c r="E24" t="n">
        <v>6</v>
      </c>
      <c r="F24" t="n">
        <v>5</v>
      </c>
      <c r="G24" t="inlineStr">
        <is>
          <t>81854</t>
        </is>
      </c>
      <c r="H24" t="inlineStr">
        <is>
          <t>581854</t>
        </is>
      </c>
      <c r="I24" t="n">
        <v>581854</v>
      </c>
      <c r="J24" t="n">
        <v>581854</v>
      </c>
      <c r="K24" t="n">
        <v>581854</v>
      </c>
      <c r="L24" s="61" t="inlineStr">
        <is>
          <t>KEYBOARD PROP</t>
        </is>
      </c>
      <c r="M24" s="61" t="inlineStr">
        <is>
          <t>A  581840  R  B</t>
        </is>
      </c>
      <c r="N24" s="60" t="n">
        <v>1</v>
      </c>
      <c r="O24" s="60" t="n"/>
      <c r="P24" s="60" t="inlineStr">
        <is>
          <t>EA</t>
        </is>
      </c>
      <c r="Q24" s="60" t="n">
        <v>4</v>
      </c>
      <c r="R24" s="60" t="inlineStr">
        <is>
          <t>KITM</t>
        </is>
      </c>
      <c r="S24" s="56" t="n"/>
      <c r="T24" s="12" t="n"/>
      <c r="U24" s="12" t="n"/>
      <c r="V24" s="12" t="n"/>
      <c r="W24" s="91">
        <f>IF(AND(LEN(D27)&gt;=6,OR(LEFT(D27,1)="4",LEFT(D27,1)="5"),K27="9DRWM"),"SDRWM","")</f>
        <v/>
      </c>
      <c r="X24" s="124" t="n"/>
      <c r="Y24" s="122" t="n"/>
      <c r="Z24" s="122" t="n"/>
    </row>
    <row r="25" ht="12" customFormat="1" customHeight="1" s="42">
      <c r="A25" s="60" t="n"/>
      <c r="B25" s="61" t="inlineStr">
        <is>
          <t>....5</t>
        </is>
      </c>
      <c r="C25" s="61" t="inlineStr">
        <is>
          <t>0210</t>
        </is>
      </c>
      <c r="D25" s="60" t="n">
        <v>581854</v>
      </c>
      <c r="E25" t="n">
        <v>6</v>
      </c>
      <c r="F25" t="n">
        <v>5</v>
      </c>
      <c r="G25" t="inlineStr">
        <is>
          <t>81854</t>
        </is>
      </c>
      <c r="H25" t="inlineStr">
        <is>
          <t>581854</t>
        </is>
      </c>
      <c r="I25" t="n">
        <v>581854</v>
      </c>
      <c r="J25" t="n">
        <v>581854</v>
      </c>
      <c r="K25" t="n">
        <v>581854</v>
      </c>
      <c r="L25" s="61" t="inlineStr">
        <is>
          <t>COVER,SMALL FLOWMETER</t>
        </is>
      </c>
      <c r="M25" s="61" t="inlineStr">
        <is>
          <t>A 581854   R  A</t>
        </is>
      </c>
      <c r="N25" s="60" t="n">
        <v>1</v>
      </c>
      <c r="O25" s="60" t="n"/>
      <c r="P25" s="60" t="inlineStr">
        <is>
          <t>EA</t>
        </is>
      </c>
      <c r="Q25" s="60" t="n">
        <v>4</v>
      </c>
      <c r="R25" s="60" t="inlineStr">
        <is>
          <t>KITM</t>
        </is>
      </c>
      <c r="S25" s="56" t="n"/>
      <c r="T25" s="12" t="n"/>
      <c r="U25" s="12" t="n"/>
      <c r="V25" s="12" t="n"/>
      <c r="W25" s="91">
        <f>IF(AND(LEN(D28)&gt;=6,OR(LEFT(D28,1)="4",LEFT(D28,1)="5"),K28="9DRWM"),"SDRWM","")</f>
        <v/>
      </c>
      <c r="X25" s="124" t="n"/>
      <c r="Y25" s="122" t="n"/>
      <c r="Z25" s="122" t="n"/>
    </row>
    <row r="26" ht="12" customFormat="1" customHeight="1" s="42">
      <c r="A26" s="60" t="n"/>
      <c r="B26" s="61" t="inlineStr">
        <is>
          <t>...4</t>
        </is>
      </c>
      <c r="C26" s="61" t="inlineStr">
        <is>
          <t>0050</t>
        </is>
      </c>
      <c r="D26" s="60" t="n">
        <v>581854</v>
      </c>
      <c r="E26" t="n">
        <v>6</v>
      </c>
      <c r="F26" t="n">
        <v>5</v>
      </c>
      <c r="G26" t="inlineStr">
        <is>
          <t>81889</t>
        </is>
      </c>
      <c r="H26" t="inlineStr">
        <is>
          <t>581889</t>
        </is>
      </c>
      <c r="I26" t="n">
        <v>581889</v>
      </c>
      <c r="J26" t="n">
        <v>581889</v>
      </c>
      <c r="K26" t="n">
        <v>581889</v>
      </c>
      <c r="L26" s="61" t="inlineStr">
        <is>
          <t>COVER,SMALL FLOWMETER</t>
        </is>
      </c>
      <c r="M26" s="61" t="inlineStr">
        <is>
          <t>A 581854   R  A</t>
        </is>
      </c>
      <c r="N26" s="60" t="n">
        <v>-1</v>
      </c>
      <c r="O26" s="60" t="n"/>
      <c r="P26" s="60" t="inlineStr">
        <is>
          <t>EA</t>
        </is>
      </c>
      <c r="Q26" s="60" t="n">
        <v>4</v>
      </c>
      <c r="R26" s="60" t="inlineStr">
        <is>
          <t>KITM</t>
        </is>
      </c>
      <c r="S26" s="56" t="n"/>
      <c r="T26" s="12" t="n"/>
      <c r="U26" s="12" t="n"/>
      <c r="V26" s="12" t="n"/>
      <c r="W26" s="91">
        <f>IF(AND(LEN(D29)&gt;=6,OR(LEFT(D29,1)="4",LEFT(D29,1)="5"),K29="9DRWM"),"SDRWM","")</f>
        <v/>
      </c>
      <c r="X26" s="124" t="inlineStr">
        <is>
          <t>581889</t>
        </is>
      </c>
      <c r="Y26" s="122" t="n"/>
      <c r="Z26" s="122" t="n"/>
    </row>
    <row r="27" ht="12" customFormat="1" customHeight="1" s="42">
      <c r="A27" s="60" t="n"/>
      <c r="B27" s="61" t="inlineStr">
        <is>
          <t>...4</t>
        </is>
      </c>
      <c r="C27" s="61" t="inlineStr">
        <is>
          <t>0020</t>
        </is>
      </c>
      <c r="D27" s="60" t="n">
        <v>581889</v>
      </c>
      <c r="E27" t="n">
        <v>6</v>
      </c>
      <c r="F27" t="n">
        <v>5</v>
      </c>
      <c r="G27" t="inlineStr">
        <is>
          <t>82281</t>
        </is>
      </c>
      <c r="H27" t="inlineStr">
        <is>
          <t>582281</t>
        </is>
      </c>
      <c r="I27" t="n">
        <v>582281</v>
      </c>
      <c r="J27" t="n">
        <v>582281</v>
      </c>
      <c r="K27" t="n">
        <v>582281</v>
      </c>
      <c r="L27" s="61" t="inlineStr">
        <is>
          <t>WIDEBODY ROD SUPPORT</t>
        </is>
      </c>
      <c r="M27" s="61" t="inlineStr">
        <is>
          <t>B 581889   R  F</t>
        </is>
      </c>
      <c r="N27" s="60" t="n">
        <v>3</v>
      </c>
      <c r="O27" s="60" t="n"/>
      <c r="P27" s="60" t="inlineStr">
        <is>
          <t>EA</t>
        </is>
      </c>
      <c r="Q27" s="60" t="n">
        <v>4</v>
      </c>
      <c r="R27" s="60" t="inlineStr">
        <is>
          <t>KITM</t>
        </is>
      </c>
      <c r="S27" s="56" t="n"/>
      <c r="T27" s="12" t="n"/>
      <c r="U27" s="12" t="n"/>
      <c r="V27" s="12" t="n"/>
      <c r="W27" s="91">
        <f>IF(AND(LEN(D30)&gt;=6,OR(LEFT(D30,1)="4",LEFT(D30,1)="5"),K30="9DRWM"),"SDRWM","")</f>
        <v/>
      </c>
      <c r="X27" s="124" t="inlineStr">
        <is>
          <t>582281</t>
        </is>
      </c>
      <c r="Y27" s="122" t="n"/>
      <c r="Z27" s="122" t="n"/>
    </row>
    <row r="28" ht="12" customFormat="1" customHeight="1" s="42">
      <c r="A28" s="60" t="n"/>
      <c r="B28" s="61" t="inlineStr">
        <is>
          <t>....5</t>
        </is>
      </c>
      <c r="C28" s="61" t="inlineStr">
        <is>
          <t>0100</t>
        </is>
      </c>
      <c r="D28" s="60" t="n">
        <v>582281</v>
      </c>
      <c r="E28" t="n">
        <v>6</v>
      </c>
      <c r="F28" t="n">
        <v>5</v>
      </c>
      <c r="G28" t="inlineStr">
        <is>
          <t>82854</t>
        </is>
      </c>
      <c r="H28" t="inlineStr">
        <is>
          <t>582854</t>
        </is>
      </c>
      <c r="I28" t="n">
        <v>582854</v>
      </c>
      <c r="J28" t="n">
        <v>582854</v>
      </c>
      <c r="K28" t="n">
        <v>582854</v>
      </c>
      <c r="L28" s="61" t="inlineStr">
        <is>
          <t>WIRING DIA. L.T. 3 STAGE</t>
        </is>
      </c>
      <c r="M28" s="61" t="inlineStr">
        <is>
          <t>B582281 A  R</t>
        </is>
      </c>
      <c r="N28" s="60" t="n">
        <v>0</v>
      </c>
      <c r="O28" s="60" t="n"/>
      <c r="P28" s="60" t="inlineStr">
        <is>
          <t>RF</t>
        </is>
      </c>
      <c r="Q28" s="60" t="n">
        <v>9</v>
      </c>
      <c r="R28" s="60" t="inlineStr">
        <is>
          <t>9DRWM</t>
        </is>
      </c>
      <c r="S28" s="56" t="n"/>
      <c r="T28" s="12" t="n"/>
      <c r="U28" s="12" t="n"/>
      <c r="V28" s="12" t="n"/>
      <c r="W28" s="91">
        <f>IF(AND(LEN(D31)&gt;=6,OR(LEFT(D31,1)="4",LEFT(D31,1)="5"),K31="9DRWM"),"SDRWM","")</f>
        <v/>
      </c>
      <c r="X28" s="124" t="inlineStr">
        <is>
          <t>582854</t>
        </is>
      </c>
      <c r="Y28" s="122" t="n"/>
      <c r="Z28" s="122" t="n"/>
    </row>
    <row r="29" ht="12" customFormat="1" customHeight="1" s="42">
      <c r="A29" s="60" t="n"/>
      <c r="B29" s="61" t="inlineStr">
        <is>
          <t>.2</t>
        </is>
      </c>
      <c r="C29" s="61" t="inlineStr">
        <is>
          <t>0030</t>
        </is>
      </c>
      <c r="D29" s="60" t="n">
        <v>582854</v>
      </c>
      <c r="E29" t="n">
        <v>6</v>
      </c>
      <c r="F29" t="n">
        <v>5</v>
      </c>
      <c r="G29" t="inlineStr">
        <is>
          <t>84712</t>
        </is>
      </c>
      <c r="H29" t="inlineStr">
        <is>
          <t>584712</t>
        </is>
      </c>
      <c r="I29" t="n">
        <v>584712</v>
      </c>
      <c r="J29" t="n">
        <v>584712</v>
      </c>
      <c r="K29" t="n">
        <v>584712</v>
      </c>
      <c r="L29" s="61" t="inlineStr">
        <is>
          <t>DECO ANGLE EXL</t>
        </is>
      </c>
      <c r="M29" s="61" t="inlineStr">
        <is>
          <t>B582854    R</t>
        </is>
      </c>
      <c r="N29" s="60" t="n">
        <v>3</v>
      </c>
      <c r="O29" s="60" t="n"/>
      <c r="P29" s="60" t="inlineStr">
        <is>
          <t>EA</t>
        </is>
      </c>
      <c r="Q29" s="60" t="n">
        <v>4</v>
      </c>
      <c r="R29" s="60" t="inlineStr">
        <is>
          <t>KITM</t>
        </is>
      </c>
      <c r="S29" s="56" t="n"/>
      <c r="T29" s="12" t="n"/>
      <c r="U29" s="12" t="n"/>
      <c r="V29" s="12" t="n"/>
      <c r="W29" s="91">
        <f>IF(AND(LEN(D32)&gt;=6,OR(LEFT(D32,1)="4",LEFT(D32,1)="5"),K32="9DRWM"),"SDRWM","")</f>
        <v/>
      </c>
      <c r="X29" s="124" t="inlineStr">
        <is>
          <t>584712</t>
        </is>
      </c>
      <c r="Y29" s="122" t="n"/>
      <c r="Z29" s="122" t="n"/>
    </row>
    <row r="30" ht="12" customFormat="1" customHeight="1" s="42">
      <c r="A30" s="60" t="n"/>
      <c r="B30" s="61" t="inlineStr">
        <is>
          <t>.....6</t>
        </is>
      </c>
      <c r="C30" s="61" t="inlineStr">
        <is>
          <t>0020</t>
        </is>
      </c>
      <c r="D30" s="60" t="n">
        <v>584712</v>
      </c>
      <c r="L30" s="61" t="inlineStr">
        <is>
          <t>MONITOR PLATFORM SUPPORT</t>
        </is>
      </c>
      <c r="M30" s="61" t="inlineStr">
        <is>
          <t>A 584712   R  B</t>
        </is>
      </c>
      <c r="N30" s="60" t="n">
        <v>1</v>
      </c>
      <c r="O30" s="60" t="n"/>
      <c r="P30" s="60" t="inlineStr">
        <is>
          <t>EA</t>
        </is>
      </c>
      <c r="Q30" s="60" t="n">
        <v>4</v>
      </c>
      <c r="R30" s="60" t="inlineStr">
        <is>
          <t>KITM</t>
        </is>
      </c>
      <c r="S30" s="56" t="n"/>
      <c r="T30" s="12" t="n"/>
      <c r="U30" s="12" t="n"/>
      <c r="V30" s="12" t="n"/>
      <c r="W30" s="91">
        <f>IF(AND(LEN(D33)&gt;=6,OR(LEFT(D33,1)="4",LEFT(D33,1)="5"),K33="9DRWM"),"SDRWM","")</f>
        <v/>
      </c>
      <c r="X30" s="54" t="n"/>
    </row>
    <row r="31" hidden="1" ht="12" customFormat="1" customHeight="1" s="42">
      <c r="A31" s="60" t="n"/>
      <c r="B31" s="61" t="inlineStr">
        <is>
          <t>...4</t>
        </is>
      </c>
      <c r="C31" s="61" t="inlineStr">
        <is>
          <t>0100</t>
        </is>
      </c>
      <c r="D31" s="60" t="n">
        <v>594696</v>
      </c>
      <c r="E31" t="n">
        <v>6</v>
      </c>
      <c r="F31" t="n">
        <v>5</v>
      </c>
      <c r="G31" t="inlineStr">
        <is>
          <t>84805</t>
        </is>
      </c>
      <c r="H31" t="inlineStr">
        <is>
          <t>584805</t>
        </is>
      </c>
      <c r="I31" t="n">
        <v>584805</v>
      </c>
      <c r="J31" t="n">
        <v>584805</v>
      </c>
      <c r="K31" t="n">
        <v>584805</v>
      </c>
      <c r="L31" s="61" t="inlineStr">
        <is>
          <t>NIDEC MOTOR ASY, AIR,NO SPACER</t>
        </is>
      </c>
      <c r="M31" s="61" t="inlineStr">
        <is>
          <t>B 594696   ** A</t>
        </is>
      </c>
      <c r="N31" s="60" t="n">
        <v>1</v>
      </c>
      <c r="O31" s="60" t="n"/>
      <c r="P31" s="60" t="inlineStr">
        <is>
          <t>EA</t>
        </is>
      </c>
      <c r="Q31" s="60" t="n">
        <v>0</v>
      </c>
      <c r="R31" s="60" t="n"/>
      <c r="S31" s="56" t="n"/>
      <c r="T31" s="12" t="n"/>
      <c r="U31" s="12" t="n"/>
      <c r="V31" s="12" t="n"/>
      <c r="W31" s="91">
        <f>IF(AND(LEN(D38)&gt;=6,OR(LEFT(D38,1)="4",LEFT(D38,1)="5"),K38="9DRWM"),"SDRWM","")</f>
        <v/>
      </c>
      <c r="X31" s="124" t="inlineStr">
        <is>
          <t>584805</t>
        </is>
      </c>
      <c r="Y31" s="122" t="n"/>
      <c r="Z31" s="122" t="n"/>
    </row>
    <row r="32" hidden="1" ht="12" customFormat="1" customHeight="1" s="42">
      <c r="A32" s="60" t="n"/>
      <c r="B32" s="61" t="inlineStr">
        <is>
          <t>....5</t>
        </is>
      </c>
      <c r="C32" s="61" t="inlineStr">
        <is>
          <t>0020</t>
        </is>
      </c>
      <c r="D32" s="60" t="n">
        <v>594710</v>
      </c>
      <c r="E32" t="n">
        <v>6</v>
      </c>
      <c r="F32" t="n">
        <v>5</v>
      </c>
      <c r="G32" t="inlineStr">
        <is>
          <t>85777</t>
        </is>
      </c>
      <c r="H32" t="inlineStr">
        <is>
          <t>585777</t>
        </is>
      </c>
      <c r="I32" t="n">
        <v>585777</v>
      </c>
      <c r="J32" t="n">
        <v>585777</v>
      </c>
      <c r="K32" t="n">
        <v>585777</v>
      </c>
      <c r="L32" s="61" t="inlineStr">
        <is>
          <t>NIDEC MOTOR MOUNTNG PLATE,MK3V</t>
        </is>
      </c>
      <c r="M32" s="61" t="inlineStr">
        <is>
          <t>A 594710   R  B</t>
        </is>
      </c>
      <c r="N32" s="60" t="n">
        <v>1</v>
      </c>
      <c r="O32" s="60" t="n"/>
      <c r="P32" s="60" t="inlineStr">
        <is>
          <t>EA</t>
        </is>
      </c>
      <c r="Q32" s="60" t="n">
        <v>4</v>
      </c>
      <c r="R32" s="60" t="inlineStr">
        <is>
          <t>KITMS</t>
        </is>
      </c>
      <c r="S32" s="56" t="n"/>
      <c r="T32" s="12" t="n"/>
      <c r="U32" s="12" t="n"/>
      <c r="V32" s="12" t="n"/>
      <c r="W32" s="91">
        <f>IF(AND(LEN(D40)&gt;=6,OR(LEFT(D40,1)="4",LEFT(D40,1)="5"),K40="9DRWM"),"SDRWM","")</f>
        <v/>
      </c>
      <c r="X32" s="124" t="inlineStr">
        <is>
          <t>585777</t>
        </is>
      </c>
      <c r="Y32" s="122" t="n"/>
      <c r="Z32" s="122" t="n"/>
    </row>
    <row r="33" hidden="1" ht="12" customFormat="1" customHeight="1" s="42">
      <c r="A33" s="60" t="n"/>
      <c r="B33" s="61" t="inlineStr">
        <is>
          <t>...4</t>
        </is>
      </c>
      <c r="C33" s="61" t="inlineStr">
        <is>
          <t>0110</t>
        </is>
      </c>
      <c r="D33" s="60" t="n">
        <v>594697</v>
      </c>
      <c r="L33" s="61" t="inlineStr">
        <is>
          <t>NIDEC MOTOR ASY, AIR, W/SPACER</t>
        </is>
      </c>
      <c r="M33" s="61" t="inlineStr">
        <is>
          <t>B 594697   ** A</t>
        </is>
      </c>
      <c r="N33" s="60" t="n">
        <v>1</v>
      </c>
      <c r="O33" s="60" t="n"/>
      <c r="P33" s="60" t="inlineStr">
        <is>
          <t>EA</t>
        </is>
      </c>
      <c r="Q33" s="60" t="n">
        <v>0</v>
      </c>
      <c r="R33" s="60" t="n"/>
      <c r="S33" s="56" t="n"/>
      <c r="T33" s="12" t="n"/>
      <c r="U33" s="12" t="n"/>
      <c r="V33" s="12" t="n"/>
      <c r="W33" s="91">
        <f>IF(AND(LEN(D46)&gt;=6,OR(LEFT(D46,1)="4",LEFT(D46,1)="5"),K46="9DRWM"),"SDRWM","")</f>
        <v/>
      </c>
      <c r="X33" s="54" t="n"/>
    </row>
    <row r="34" hidden="1" ht="12" customFormat="1" customHeight="1" s="42">
      <c r="A34" s="60" t="n"/>
      <c r="B34" s="61" t="inlineStr">
        <is>
          <t>....5</t>
        </is>
      </c>
      <c r="C34" s="61" t="inlineStr">
        <is>
          <t>0020</t>
        </is>
      </c>
      <c r="D34" s="60" t="n">
        <v>594710</v>
      </c>
      <c r="L34" s="61" t="inlineStr">
        <is>
          <t>NIDEC MOTOR MOUNTNG PLATE,MK3V</t>
        </is>
      </c>
      <c r="M34" s="61" t="inlineStr">
        <is>
          <t>A 594710   R  B</t>
        </is>
      </c>
      <c r="N34" s="60" t="n">
        <v>1</v>
      </c>
      <c r="O34" s="60" t="n"/>
      <c r="P34" s="60" t="inlineStr">
        <is>
          <t>EA</t>
        </is>
      </c>
      <c r="Q34" s="60" t="n">
        <v>4</v>
      </c>
      <c r="R34" s="60" t="inlineStr">
        <is>
          <t>KITMS</t>
        </is>
      </c>
      <c r="S34" s="56" t="n"/>
      <c r="T34" s="12" t="n"/>
      <c r="U34" s="12" t="n"/>
      <c r="V34" s="12" t="n"/>
      <c r="W34" s="91">
        <f>IF(AND(LEN(D48)&gt;=6,OR(LEFT(D48,1)="4",LEFT(D48,1)="5"),K48="9DRWM"),"SDRWM","")</f>
        <v/>
      </c>
      <c r="X34" s="54" t="n"/>
    </row>
    <row r="35" hidden="1" ht="12" customFormat="1" customHeight="1" s="42">
      <c r="A35" s="60" t="n"/>
      <c r="B35" s="61" t="inlineStr">
        <is>
          <t>....5</t>
        </is>
      </c>
      <c r="C35" s="61" t="inlineStr">
        <is>
          <t>0030</t>
        </is>
      </c>
      <c r="D35" s="60" t="n">
        <v>594717</v>
      </c>
      <c r="E35" t="n">
        <v>6</v>
      </c>
      <c r="F35" t="n">
        <v>5</v>
      </c>
      <c r="G35" t="inlineStr">
        <is>
          <t>85811</t>
        </is>
      </c>
      <c r="H35" t="inlineStr">
        <is>
          <t>585811</t>
        </is>
      </c>
      <c r="I35" t="n">
        <v>585811</v>
      </c>
      <c r="J35" t="n">
        <v>585811</v>
      </c>
      <c r="K35" t="n">
        <v>585811</v>
      </c>
      <c r="L35" s="61" t="inlineStr">
        <is>
          <t>PHENOLIC SPACER,3/8" NIDEC SHF</t>
        </is>
      </c>
      <c r="M35" s="61" t="inlineStr">
        <is>
          <t>A 594717   R  B</t>
        </is>
      </c>
      <c r="N35" s="60" t="n">
        <v>2</v>
      </c>
      <c r="O35" s="60" t="n"/>
      <c r="P35" s="60" t="inlineStr">
        <is>
          <t>EA</t>
        </is>
      </c>
      <c r="Q35" s="60" t="n">
        <v>4</v>
      </c>
      <c r="R35" s="60" t="inlineStr">
        <is>
          <t>KITMS</t>
        </is>
      </c>
      <c r="S35" s="56" t="n"/>
      <c r="T35" s="12" t="n"/>
      <c r="U35" s="12" t="n"/>
      <c r="V35" s="12" t="n"/>
      <c r="W35" s="91">
        <f>IF(AND(LEN(D49)&gt;=6,OR(LEFT(D49,1)="4",LEFT(D49,1)="5"),K49="9DRWM"),"SDRWM","")</f>
        <v/>
      </c>
      <c r="X35" s="124" t="inlineStr">
        <is>
          <t>585811</t>
        </is>
      </c>
      <c r="Y35" s="122" t="n"/>
      <c r="Z35" s="122" t="n"/>
    </row>
    <row r="36" ht="12" customFormat="1" customHeight="1" s="42">
      <c r="A36" s="60" t="n"/>
      <c r="B36" s="61" t="inlineStr">
        <is>
          <t>...4</t>
        </is>
      </c>
      <c r="C36" s="61" t="inlineStr">
        <is>
          <t>0590</t>
        </is>
      </c>
      <c r="D36" s="60" t="n">
        <v>584805</v>
      </c>
      <c r="E36" t="n">
        <v>6</v>
      </c>
      <c r="F36" t="n">
        <v>5</v>
      </c>
      <c r="G36" t="inlineStr">
        <is>
          <t>89021</t>
        </is>
      </c>
      <c r="H36" t="inlineStr">
        <is>
          <t>589021</t>
        </is>
      </c>
      <c r="I36" t="n">
        <v>589021</v>
      </c>
      <c r="J36" t="n">
        <v>589021</v>
      </c>
      <c r="K36" t="n">
        <v>589021</v>
      </c>
      <c r="L36" s="61" t="inlineStr">
        <is>
          <t>MAIN POWER HAR LIST E.PNL 100A</t>
        </is>
      </c>
      <c r="M36" s="61" t="inlineStr">
        <is>
          <t>A  584805  R  B</t>
        </is>
      </c>
      <c r="N36" s="60" t="n">
        <v>1</v>
      </c>
      <c r="O36" s="60" t="n"/>
      <c r="P36" s="60" t="inlineStr">
        <is>
          <t>RF</t>
        </is>
      </c>
      <c r="Q36" s="60" t="n">
        <v>9</v>
      </c>
      <c r="R36" s="60" t="inlineStr">
        <is>
          <t>9DRWM</t>
        </is>
      </c>
      <c r="S36" s="56" t="n"/>
      <c r="T36" s="12" t="n"/>
      <c r="U36" s="12" t="n"/>
      <c r="V36" s="12" t="n"/>
      <c r="W36" s="91">
        <f>IF(AND(LEN(D68)&gt;=6,OR(LEFT(D68,1)="4",LEFT(D68,1)="5"),K68="9DRWM"),"SDRWM","")</f>
        <v/>
      </c>
      <c r="X36" s="124" t="inlineStr">
        <is>
          <t>589021</t>
        </is>
      </c>
      <c r="Y36" s="122" t="n"/>
      <c r="Z36" s="122" t="n"/>
    </row>
    <row r="37" ht="12" customFormat="1" customHeight="1" s="42">
      <c r="A37" s="60" t="n"/>
      <c r="B37" s="61" t="inlineStr">
        <is>
          <t>...4</t>
        </is>
      </c>
      <c r="C37" s="61" t="inlineStr">
        <is>
          <t>0360</t>
        </is>
      </c>
      <c r="D37" s="60" t="n">
        <v>584806</v>
      </c>
      <c r="L37" s="61" t="inlineStr">
        <is>
          <t>MAIN POWER HAR LIST OVEN 100A</t>
        </is>
      </c>
      <c r="M37" s="61" t="inlineStr">
        <is>
          <t>A  584806  R  B</t>
        </is>
      </c>
      <c r="N37" s="60" t="n">
        <v>1</v>
      </c>
      <c r="O37" s="60" t="n"/>
      <c r="P37" s="60" t="inlineStr">
        <is>
          <t>RF</t>
        </is>
      </c>
      <c r="Q37" s="60" t="n">
        <v>9</v>
      </c>
      <c r="R37" s="60" t="inlineStr">
        <is>
          <t>9DRWM</t>
        </is>
      </c>
      <c r="S37" s="56" t="n"/>
      <c r="T37" s="12" t="n"/>
      <c r="U37" s="12" t="n"/>
      <c r="V37" s="12" t="n"/>
      <c r="W37" s="91">
        <f>IF(AND(LEN(D69)&gt;=6,OR(LEFT(D69,1)="4",LEFT(D69,1)="5"),K69="9DRWM"),"SDRWM","")</f>
        <v/>
      </c>
      <c r="X37" s="54" t="n"/>
    </row>
    <row r="38" ht="12" customFormat="1" customHeight="1" s="42">
      <c r="A38" s="60" t="n"/>
      <c r="B38" s="61" t="inlineStr">
        <is>
          <t>.2</t>
        </is>
      </c>
      <c r="C38" s="61" t="inlineStr">
        <is>
          <t>0090</t>
        </is>
      </c>
      <c r="D38" s="60" t="n">
        <v>585777</v>
      </c>
      <c r="L38" s="61" t="inlineStr">
        <is>
          <t>SERIAL NUMBER FORMAT</t>
        </is>
      </c>
      <c r="M38" s="61" t="inlineStr">
        <is>
          <t>B 585777   R AW</t>
        </is>
      </c>
      <c r="N38" s="60" t="n">
        <v>0</v>
      </c>
      <c r="O38" s="60" t="n"/>
      <c r="P38" s="60" t="inlineStr">
        <is>
          <t>RF</t>
        </is>
      </c>
      <c r="Q38" s="60" t="n">
        <v>9</v>
      </c>
      <c r="R38" s="60" t="inlineStr">
        <is>
          <t>9DRWM</t>
        </is>
      </c>
      <c r="S38" s="56" t="n"/>
      <c r="T38" s="12" t="n"/>
      <c r="U38" s="12" t="n"/>
      <c r="V38" s="12" t="n"/>
      <c r="W38" s="91">
        <f>IF(AND(LEN(D70)&gt;=6,OR(LEFT(D70,1)="4",LEFT(D70,1)="5"),K70="9DRWM"),"SDRWM","")</f>
        <v/>
      </c>
      <c r="X38" s="54" t="n"/>
    </row>
    <row r="39" ht="12" customFormat="1" customHeight="1" s="42">
      <c r="A39" s="60" t="n"/>
      <c r="B39" s="61" t="inlineStr">
        <is>
          <t>....5</t>
        </is>
      </c>
      <c r="C39" s="61" t="inlineStr">
        <is>
          <t>0030</t>
        </is>
      </c>
      <c r="D39" s="60" t="n">
        <v>585801</v>
      </c>
      <c r="L39" s="61" t="inlineStr">
        <is>
          <t>SLIDE DOOR CARB</t>
        </is>
      </c>
      <c r="M39" s="61" t="inlineStr">
        <is>
          <t>B 585801   R  D</t>
        </is>
      </c>
      <c r="N39" s="60" t="n">
        <v>3</v>
      </c>
      <c r="O39" s="60" t="n"/>
      <c r="P39" s="60" t="inlineStr">
        <is>
          <t>EA</t>
        </is>
      </c>
      <c r="Q39" s="60" t="n">
        <v>4</v>
      </c>
      <c r="R39" s="60" t="inlineStr">
        <is>
          <t>KITM</t>
        </is>
      </c>
      <c r="S39" s="56" t="n"/>
      <c r="T39" s="12" t="n"/>
      <c r="U39" s="12" t="n"/>
      <c r="V39" s="12" t="n"/>
      <c r="W39" s="91">
        <f>IF(AND(LEN(D71)&gt;=6,OR(LEFT(D71,1)="4",LEFT(D71,1)="5"),K71="9DRWM"),"SDRWM","")</f>
        <v/>
      </c>
      <c r="X39" s="54" t="n"/>
    </row>
    <row r="40" hidden="1" ht="12" customFormat="1" customHeight="1" s="42">
      <c r="A40" s="60" t="n"/>
      <c r="B40" s="61" t="inlineStr">
        <is>
          <t>..3</t>
        </is>
      </c>
      <c r="C40" s="61" t="inlineStr">
        <is>
          <t>0180</t>
        </is>
      </c>
      <c r="D40" s="60" t="n">
        <v>59445501</v>
      </c>
      <c r="L40" s="61" t="inlineStr">
        <is>
          <t>INTERFACE ADD/DEL, EXT COOL LR</t>
        </is>
      </c>
      <c r="M40" s="61" t="inlineStr">
        <is>
          <t>BM59445501 ** B</t>
        </is>
      </c>
      <c r="N40" s="60" t="n">
        <v>1</v>
      </c>
      <c r="O40" s="60" t="n"/>
      <c r="P40" s="60" t="inlineStr">
        <is>
          <t>EA</t>
        </is>
      </c>
      <c r="Q40" s="60" t="n">
        <v>0</v>
      </c>
      <c r="R40" s="60" t="n"/>
      <c r="S40" s="56" t="n"/>
      <c r="T40" s="12" t="n"/>
      <c r="U40" s="12" t="n"/>
      <c r="V40" s="12" t="n"/>
      <c r="W40" s="91">
        <f>IF(AND(LEN(D80)&gt;=6,OR(LEFT(D80,1)="4",LEFT(D80,1)="5"),K80="9DRWM"),"SDRWM","")</f>
        <v/>
      </c>
      <c r="X40" s="54" t="n"/>
    </row>
    <row r="41" ht="12" customFormat="1" customHeight="1" s="42">
      <c r="A41" s="60" t="n"/>
      <c r="B41" s="61" t="inlineStr">
        <is>
          <t>....5</t>
        </is>
      </c>
      <c r="C41" s="61" t="inlineStr">
        <is>
          <t>0030</t>
        </is>
      </c>
      <c r="D41" s="60" t="n">
        <v>585801</v>
      </c>
      <c r="E41" t="n">
        <v>6</v>
      </c>
      <c r="F41" t="n">
        <v>5</v>
      </c>
      <c r="G41" t="inlineStr">
        <is>
          <t>89460</t>
        </is>
      </c>
      <c r="H41" t="inlineStr">
        <is>
          <t>589460</t>
        </is>
      </c>
      <c r="I41" t="n">
        <v>589460</v>
      </c>
      <c r="J41" t="n">
        <v>589460</v>
      </c>
      <c r="K41" t="n">
        <v>589460</v>
      </c>
      <c r="L41" s="61" t="inlineStr">
        <is>
          <t>SLIDE DOOR CARB</t>
        </is>
      </c>
      <c r="M41" s="61" t="inlineStr">
        <is>
          <t>B 585801   R  D</t>
        </is>
      </c>
      <c r="N41" s="60" t="n">
        <v>2</v>
      </c>
      <c r="O41" s="60" t="n"/>
      <c r="P41" s="60" t="inlineStr">
        <is>
          <t>EA</t>
        </is>
      </c>
      <c r="Q41" s="60" t="n">
        <v>4</v>
      </c>
      <c r="R41" s="60" t="inlineStr">
        <is>
          <t>KITM</t>
        </is>
      </c>
      <c r="S41" s="56" t="n"/>
      <c r="T41" s="12" t="n"/>
      <c r="U41" s="12" t="n"/>
      <c r="V41" s="12" t="n"/>
      <c r="W41" s="91">
        <f>IF(AND(LEN(D81)&gt;=6,OR(LEFT(D81,1)="4",LEFT(D81,1)="5"),K81="9DRWM"),"SDRWM","")</f>
        <v/>
      </c>
      <c r="X41" s="124" t="inlineStr">
        <is>
          <t>589460</t>
        </is>
      </c>
      <c r="Y41" s="122" t="n"/>
      <c r="Z41" s="122" t="n"/>
    </row>
    <row r="42" ht="12" customFormat="1" customHeight="1" s="42">
      <c r="A42" s="60" t="n"/>
      <c r="B42" s="61" t="inlineStr">
        <is>
          <t>....5</t>
        </is>
      </c>
      <c r="C42" s="61" t="inlineStr">
        <is>
          <t>0020</t>
        </is>
      </c>
      <c r="D42" s="60" t="n">
        <v>585802</v>
      </c>
      <c r="E42" t="n">
        <v>6</v>
      </c>
      <c r="F42" t="n">
        <v>5</v>
      </c>
      <c r="G42" t="inlineStr">
        <is>
          <t>89597</t>
        </is>
      </c>
      <c r="H42" t="inlineStr">
        <is>
          <t>589597</t>
        </is>
      </c>
      <c r="I42" t="n">
        <v>589597</v>
      </c>
      <c r="J42" t="n">
        <v>589597</v>
      </c>
      <c r="K42" t="n">
        <v>589597</v>
      </c>
      <c r="L42" s="61" t="inlineStr">
        <is>
          <t>CARB FILTER</t>
        </is>
      </c>
      <c r="M42" s="61" t="inlineStr">
        <is>
          <t>A  585802  R  A</t>
        </is>
      </c>
      <c r="N42" s="60" t="n">
        <v>3</v>
      </c>
      <c r="O42" s="60" t="n"/>
      <c r="P42" s="60" t="inlineStr">
        <is>
          <t>EA</t>
        </is>
      </c>
      <c r="Q42" s="60" t="n">
        <v>4</v>
      </c>
      <c r="R42" s="60" t="inlineStr">
        <is>
          <t>KITM</t>
        </is>
      </c>
      <c r="S42" s="56" t="n"/>
      <c r="T42" s="12" t="n"/>
      <c r="U42" s="12" t="n"/>
      <c r="V42" s="12" t="n"/>
      <c r="W42" s="91">
        <f>IF(AND(LEN(D82)&gt;=6,OR(LEFT(D82,1)="4",LEFT(D82,1)="5"),K82="9DRWM"),"SDRWM","")</f>
        <v/>
      </c>
      <c r="X42" s="124" t="n"/>
      <c r="Y42" s="122" t="n"/>
      <c r="Z42" s="122" t="n"/>
    </row>
    <row r="43" ht="12" customFormat="1" customHeight="1" s="42">
      <c r="A43" s="60" t="n"/>
      <c r="B43" s="61" t="inlineStr">
        <is>
          <t>....5</t>
        </is>
      </c>
      <c r="C43" s="61" t="inlineStr">
        <is>
          <t>0020</t>
        </is>
      </c>
      <c r="D43" s="60" t="n">
        <v>585802</v>
      </c>
      <c r="E43" t="n">
        <v>8</v>
      </c>
      <c r="F43" t="n">
        <v>5</v>
      </c>
      <c r="G43" t="inlineStr">
        <is>
          <t>8960501</t>
        </is>
      </c>
      <c r="H43" t="inlineStr">
        <is>
          <t>58960501</t>
        </is>
      </c>
      <c r="I43" t="n">
        <v>58960501</v>
      </c>
      <c r="J43" t="n">
        <v>58960501</v>
      </c>
      <c r="K43" t="n">
        <v>589605</v>
      </c>
      <c r="L43" s="61" t="inlineStr">
        <is>
          <t>CARB FILTER</t>
        </is>
      </c>
      <c r="M43" s="61" t="inlineStr">
        <is>
          <t>A  585802  R  A</t>
        </is>
      </c>
      <c r="N43" s="60" t="n">
        <v>2</v>
      </c>
      <c r="O43" s="60" t="n"/>
      <c r="P43" s="60" t="inlineStr">
        <is>
          <t>EA</t>
        </is>
      </c>
      <c r="Q43" s="60" t="n">
        <v>4</v>
      </c>
      <c r="R43" s="60" t="inlineStr">
        <is>
          <t>KITM</t>
        </is>
      </c>
      <c r="S43" s="56" t="n"/>
      <c r="T43" s="12" t="n"/>
      <c r="U43" s="12" t="n"/>
      <c r="V43" s="12" t="n"/>
      <c r="W43" s="91">
        <f>IF(AND(LEN(D83)&gt;=6,OR(LEFT(D83,1)="4",LEFT(D83,1)="5"),K83="9DRWM"),"SDRWM","")</f>
        <v/>
      </c>
      <c r="X43" s="124" t="inlineStr">
        <is>
          <t>58960501</t>
        </is>
      </c>
      <c r="Y43" s="122" t="n"/>
      <c r="Z43" s="122" t="n"/>
    </row>
    <row r="44" hidden="1" ht="12" customFormat="1" customHeight="1" s="42">
      <c r="A44" s="60" t="n"/>
      <c r="B44" s="61" t="inlineStr">
        <is>
          <t>..3</t>
        </is>
      </c>
      <c r="C44" s="61" t="inlineStr">
        <is>
          <t>0190</t>
        </is>
      </c>
      <c r="D44" s="60" t="n">
        <v>581531</v>
      </c>
      <c r="E44" t="n">
        <v>6</v>
      </c>
      <c r="F44" t="n">
        <v>5</v>
      </c>
      <c r="G44" t="inlineStr">
        <is>
          <t>89688</t>
        </is>
      </c>
      <c r="H44" t="inlineStr">
        <is>
          <t>589688</t>
        </is>
      </c>
      <c r="I44" t="n">
        <v>589688</v>
      </c>
      <c r="J44" t="n">
        <v>589688</v>
      </c>
      <c r="K44" t="n">
        <v>589688</v>
      </c>
      <c r="L44" s="61" t="inlineStr">
        <is>
          <t>150 SCFM EXHAUST LABEL</t>
        </is>
      </c>
      <c r="M44" s="61" t="inlineStr">
        <is>
          <t>A  581531  R  C</t>
        </is>
      </c>
      <c r="N44" s="60" t="n">
        <v>1</v>
      </c>
      <c r="O44" s="60" t="n"/>
      <c r="P44" s="60" t="inlineStr">
        <is>
          <t>EA</t>
        </is>
      </c>
      <c r="Q44" s="60" t="n">
        <v>4</v>
      </c>
      <c r="R44" s="60" t="inlineStr">
        <is>
          <t>KITL</t>
        </is>
      </c>
      <c r="S44" s="56" t="n"/>
      <c r="T44" s="12" t="n"/>
      <c r="U44" s="12" t="n"/>
      <c r="V44" s="12" t="n"/>
      <c r="W44" s="91">
        <f>IF(AND(LEN(D85)&gt;=6,OR(LEFT(D85,1)="4",LEFT(D85,1)="5"),K85="9DRWM"),"SDRWM","")</f>
        <v/>
      </c>
      <c r="X44" s="124" t="inlineStr">
        <is>
          <t>589688</t>
        </is>
      </c>
      <c r="Y44" s="122" t="n"/>
      <c r="Z44" s="122" t="n"/>
    </row>
    <row r="45" ht="12" customFormat="1" customHeight="1" s="42">
      <c r="A45" s="60" t="n"/>
      <c r="B45" s="61" t="inlineStr">
        <is>
          <t>...4</t>
        </is>
      </c>
      <c r="C45" s="61" t="inlineStr">
        <is>
          <t>0050</t>
        </is>
      </c>
      <c r="D45" s="60" t="n">
        <v>585809</v>
      </c>
      <c r="E45" t="n">
        <v>6</v>
      </c>
      <c r="F45" t="n">
        <v>5</v>
      </c>
      <c r="G45" t="inlineStr">
        <is>
          <t>89689</t>
        </is>
      </c>
      <c r="H45" t="inlineStr">
        <is>
          <t>589689</t>
        </is>
      </c>
      <c r="I45" t="n">
        <v>589689</v>
      </c>
      <c r="J45" t="n">
        <v>589689</v>
      </c>
      <c r="K45" t="n">
        <v>589689</v>
      </c>
      <c r="L45" s="61" t="inlineStr">
        <is>
          <t>BLOWER FLANGE - 5"</t>
        </is>
      </c>
      <c r="M45" s="61" t="inlineStr">
        <is>
          <t>B 585809   R  D</t>
        </is>
      </c>
      <c r="N45" s="60" t="n">
        <v>1</v>
      </c>
      <c r="O45" s="60" t="n"/>
      <c r="P45" s="60" t="inlineStr">
        <is>
          <t>EA</t>
        </is>
      </c>
      <c r="Q45" s="60" t="n">
        <v>4</v>
      </c>
      <c r="R45" s="60" t="inlineStr">
        <is>
          <t>KITM</t>
        </is>
      </c>
      <c r="S45" s="56" t="n"/>
      <c r="T45" s="12" t="n"/>
      <c r="U45" s="12" t="n"/>
      <c r="V45" s="12" t="n"/>
      <c r="W45" s="91">
        <f>IF(AND(LEN(D86)&gt;=6,OR(LEFT(D86,1)="4",LEFT(D86,1)="5"),K86="9DRWM"),"SDRWM","")</f>
        <v/>
      </c>
      <c r="X45" s="124" t="inlineStr">
        <is>
          <t>589689</t>
        </is>
      </c>
      <c r="Y45" s="122" t="n"/>
      <c r="Z45" s="122" t="n"/>
    </row>
    <row r="46" hidden="1" ht="12" customFormat="1" customHeight="1" s="42">
      <c r="A46" s="60" t="n"/>
      <c r="B46" s="61" t="inlineStr">
        <is>
          <t>..3</t>
        </is>
      </c>
      <c r="C46" s="61" t="inlineStr">
        <is>
          <t>0210</t>
        </is>
      </c>
      <c r="D46" s="60" t="n">
        <v>596791</v>
      </c>
      <c r="E46" t="n">
        <v>6</v>
      </c>
      <c r="F46" t="n">
        <v>5</v>
      </c>
      <c r="G46" t="inlineStr">
        <is>
          <t>89778</t>
        </is>
      </c>
      <c r="H46" t="inlineStr">
        <is>
          <t>589778</t>
        </is>
      </c>
      <c r="I46" t="n">
        <v>589778</v>
      </c>
      <c r="J46" t="n">
        <v>589778</v>
      </c>
      <c r="K46" t="n">
        <v>589778</v>
      </c>
      <c r="L46" s="61" t="inlineStr">
        <is>
          <t>STANDOFF, RAIL GUARD STANDOFF</t>
        </is>
      </c>
      <c r="M46" s="61" t="inlineStr">
        <is>
          <t>A 596791   R</t>
        </is>
      </c>
      <c r="N46" s="60" t="n">
        <v>-4</v>
      </c>
      <c r="O46" s="60" t="n"/>
      <c r="P46" s="60" t="inlineStr">
        <is>
          <t>EA</t>
        </is>
      </c>
      <c r="Q46" s="60" t="n">
        <v>4</v>
      </c>
      <c r="R46" s="60" t="inlineStr">
        <is>
          <t>KITMP</t>
        </is>
      </c>
      <c r="S46" s="56" t="n"/>
      <c r="T46" s="12" t="n"/>
      <c r="U46" s="12" t="n"/>
      <c r="V46" s="12" t="n"/>
      <c r="W46" s="91">
        <f>IF(AND(LEN(D87)&gt;=6,OR(LEFT(D87,1)="4",LEFT(D87,1)="5"),K87="9DRWM"),"SDRWM","")</f>
        <v/>
      </c>
      <c r="X46" s="124" t="inlineStr">
        <is>
          <t>589778</t>
        </is>
      </c>
      <c r="Y46" s="122" t="n"/>
      <c r="Z46" s="122" t="n"/>
    </row>
    <row r="47" ht="12" customFormat="1" customHeight="1" s="42">
      <c r="A47" s="60" t="n"/>
      <c r="B47" s="61" t="inlineStr">
        <is>
          <t>...4</t>
        </is>
      </c>
      <c r="C47" s="61" t="inlineStr">
        <is>
          <t>0070</t>
        </is>
      </c>
      <c r="D47" s="60" t="n">
        <v>585811</v>
      </c>
      <c r="E47" t="n">
        <v>6</v>
      </c>
      <c r="F47" t="n">
        <v>5</v>
      </c>
      <c r="G47" t="inlineStr">
        <is>
          <t>89871</t>
        </is>
      </c>
      <c r="H47" t="inlineStr">
        <is>
          <t>589871</t>
        </is>
      </c>
      <c r="I47" t="n">
        <v>589871</v>
      </c>
      <c r="J47" t="n">
        <v>589871</v>
      </c>
      <c r="K47" t="n">
        <v>589871</v>
      </c>
      <c r="L47" s="61" t="inlineStr">
        <is>
          <t>BLOWER WELDMENT - VERTICAL, 5"</t>
        </is>
      </c>
      <c r="M47" s="61" t="inlineStr">
        <is>
          <t>B 585811   R  F</t>
        </is>
      </c>
      <c r="N47" s="60" t="n">
        <v>1</v>
      </c>
      <c r="O47" s="60" t="n"/>
      <c r="P47" s="60" t="inlineStr">
        <is>
          <t>EA</t>
        </is>
      </c>
      <c r="Q47" s="60" t="n">
        <v>4</v>
      </c>
      <c r="R47" s="60" t="inlineStr">
        <is>
          <t>KITM</t>
        </is>
      </c>
      <c r="S47" s="56" t="n"/>
      <c r="T47" s="12" t="n"/>
      <c r="U47" s="12" t="n"/>
      <c r="V47" s="12" t="n"/>
      <c r="W47" s="91">
        <f>IF(AND(LEN(D89)&gt;=6,OR(LEFT(D89,1)="4",LEFT(D89,1)="5"),K89="9DRWM"),"SDRWM","")</f>
        <v/>
      </c>
      <c r="X47" s="124" t="inlineStr">
        <is>
          <t>589871</t>
        </is>
      </c>
      <c r="Y47" s="122" t="n"/>
      <c r="Z47" s="122" t="n"/>
    </row>
    <row r="48" ht="12" customFormat="1" customHeight="1" s="42">
      <c r="A48" s="60" t="n"/>
      <c r="B48" s="61" t="inlineStr">
        <is>
          <t>...4</t>
        </is>
      </c>
      <c r="C48" s="61" t="inlineStr">
        <is>
          <t>0060</t>
        </is>
      </c>
      <c r="D48" s="60" t="n">
        <v>585815</v>
      </c>
      <c r="E48" t="n">
        <v>6</v>
      </c>
      <c r="F48" t="n">
        <v>5</v>
      </c>
      <c r="G48" t="inlineStr">
        <is>
          <t>89872</t>
        </is>
      </c>
      <c r="H48" t="inlineStr">
        <is>
          <t>589872</t>
        </is>
      </c>
      <c r="I48" t="n">
        <v>589872</v>
      </c>
      <c r="J48" t="n">
        <v>589872</v>
      </c>
      <c r="K48" t="n">
        <v>589872</v>
      </c>
      <c r="L48" s="61" t="inlineStr">
        <is>
          <t>BLOWER WELDMENT, TOP</t>
        </is>
      </c>
      <c r="M48" s="61" t="inlineStr">
        <is>
          <t>B 585815   R  E</t>
        </is>
      </c>
      <c r="N48" s="60" t="n">
        <v>1</v>
      </c>
      <c r="O48" s="60" t="n"/>
      <c r="P48" s="60" t="inlineStr">
        <is>
          <t>EA</t>
        </is>
      </c>
      <c r="Q48" s="60" t="n">
        <v>4</v>
      </c>
      <c r="R48" s="60" t="inlineStr">
        <is>
          <t>KITM</t>
        </is>
      </c>
      <c r="S48" s="56" t="n"/>
      <c r="T48" s="12" t="n"/>
      <c r="U48" s="12" t="n"/>
      <c r="V48" s="12" t="n"/>
      <c r="W48" s="91">
        <f>IF(AND(LEN(D90)&gt;=6,OR(LEFT(D90,1)="4",LEFT(D90,1)="5"),K90="9DRWM"),"SDRWM","")</f>
        <v/>
      </c>
      <c r="X48" s="124" t="inlineStr">
        <is>
          <t>589872</t>
        </is>
      </c>
      <c r="Y48" s="122" t="n"/>
      <c r="Z48" s="122" t="n"/>
    </row>
    <row r="49" hidden="1" ht="12" customFormat="1" customHeight="1" s="42">
      <c r="A49" s="57" t="n"/>
      <c r="B49" s="58" t="inlineStr">
        <is>
          <t>1</t>
        </is>
      </c>
      <c r="C49" s="58" t="inlineStr">
        <is>
          <t>0010</t>
        </is>
      </c>
      <c r="D49" s="57" t="n">
        <v>596878</v>
      </c>
      <c r="E49" t="n">
        <v>6</v>
      </c>
      <c r="F49" t="n">
        <v>5</v>
      </c>
      <c r="G49" t="inlineStr">
        <is>
          <t>89873</t>
        </is>
      </c>
      <c r="H49" t="inlineStr">
        <is>
          <t>589873</t>
        </is>
      </c>
      <c r="I49" t="n">
        <v>589873</v>
      </c>
      <c r="J49" t="n">
        <v>589873</v>
      </c>
      <c r="K49" t="n">
        <v>589873</v>
      </c>
      <c r="L49" s="58" t="inlineStr">
        <is>
          <t>TOP ASSEMBLY, 1809MK5</t>
        </is>
      </c>
      <c r="M49" s="58" t="inlineStr">
        <is>
          <t>BM596878   R  B</t>
        </is>
      </c>
      <c r="N49" s="57" t="n">
        <v>1</v>
      </c>
      <c r="O49" s="57" t="n"/>
      <c r="P49" s="57" t="inlineStr">
        <is>
          <t>EA</t>
        </is>
      </c>
      <c r="Q49" s="57" t="n">
        <v>0</v>
      </c>
      <c r="R49" s="57" t="n"/>
      <c r="S49" s="59" t="n"/>
      <c r="T49" s="43" t="n"/>
      <c r="U49" s="43" t="n"/>
      <c r="V49" s="43" t="n"/>
      <c r="W49" s="44">
        <f>IF(AND(LEN(D91)&gt;=6,OR(LEFT(D91,1)="4",LEFT(D91,1)="5"),K91="9DRWM"),"SDRWM","")</f>
        <v/>
      </c>
      <c r="X49" s="123" t="inlineStr">
        <is>
          <t>589873</t>
        </is>
      </c>
      <c r="Y49" s="122" t="n"/>
      <c r="Z49" s="122" t="n"/>
    </row>
    <row r="50" hidden="1" ht="12" customFormat="1" customHeight="1" s="42">
      <c r="A50" s="60" t="n"/>
      <c r="B50" s="61" t="inlineStr">
        <is>
          <t>.2</t>
        </is>
      </c>
      <c r="C50" s="61" t="inlineStr">
        <is>
          <t>0001</t>
        </is>
      </c>
      <c r="D50" s="60" t="n">
        <v>43435202</v>
      </c>
      <c r="E50" t="n">
        <v>8</v>
      </c>
      <c r="F50" t="n">
        <v>5</v>
      </c>
      <c r="G50" t="inlineStr">
        <is>
          <t>8995401</t>
        </is>
      </c>
      <c r="H50" t="inlineStr">
        <is>
          <t>58995401</t>
        </is>
      </c>
      <c r="I50" t="n">
        <v>58995401</v>
      </c>
      <c r="J50" t="n">
        <v>58995401</v>
      </c>
      <c r="K50" t="n">
        <v>589954</v>
      </c>
      <c r="L50" s="61" t="inlineStr">
        <is>
          <t>INSULATION, TOP SHELL, 1809MK3</t>
        </is>
      </c>
      <c r="M50" s="61" t="inlineStr">
        <is>
          <t>C 434352XX R</t>
        </is>
      </c>
      <c r="N50" s="60" t="n">
        <v>1</v>
      </c>
      <c r="O50" s="60" t="n"/>
      <c r="P50" s="60" t="inlineStr">
        <is>
          <t>EA</t>
        </is>
      </c>
      <c r="Q50" s="60" t="n">
        <v>4</v>
      </c>
      <c r="R50" s="60" t="inlineStr">
        <is>
          <t>KITMS</t>
        </is>
      </c>
      <c r="S50" s="55" t="inlineStr">
        <is>
          <t>INSULATION</t>
        </is>
      </c>
      <c r="T50" s="91" t="n"/>
      <c r="U50" s="91" t="n"/>
      <c r="V50" s="12" t="n"/>
      <c r="W50" s="91">
        <f>IF(AND(LEN(D92)&gt;=6,OR(LEFT(D92,1)="4",LEFT(D92,1)="5"),K92="9DRWM"),"SDRWM","")</f>
        <v/>
      </c>
      <c r="X50" s="123" t="inlineStr">
        <is>
          <t>58995401</t>
        </is>
      </c>
      <c r="Y50" s="122" t="n"/>
      <c r="Z50" s="122" t="n"/>
    </row>
    <row r="51" ht="12" customFormat="1" customHeight="1" s="42">
      <c r="A51" s="60" t="n"/>
      <c r="B51" s="61" t="inlineStr">
        <is>
          <t>....5</t>
        </is>
      </c>
      <c r="C51" s="61" t="inlineStr">
        <is>
          <t>0020</t>
        </is>
      </c>
      <c r="D51" s="60" t="n">
        <v>586955</v>
      </c>
      <c r="L51" s="61" t="inlineStr">
        <is>
          <t>SLIDE, ADJ. BRACKET</t>
        </is>
      </c>
      <c r="M51" s="61" t="inlineStr">
        <is>
          <t>A 586955   R  C</t>
        </is>
      </c>
      <c r="N51" s="60" t="n">
        <v>1</v>
      </c>
      <c r="O51" s="60" t="n"/>
      <c r="P51" s="60" t="inlineStr">
        <is>
          <t>EA</t>
        </is>
      </c>
      <c r="Q51" s="60" t="n">
        <v>4</v>
      </c>
      <c r="R51" s="60" t="inlineStr">
        <is>
          <t>KITM</t>
        </is>
      </c>
      <c r="S51" s="56" t="n"/>
      <c r="T51" s="12" t="n"/>
      <c r="U51" s="12" t="n"/>
      <c r="V51" s="12" t="n"/>
      <c r="W51" s="91">
        <f>IF(AND(LEN(D93)&gt;=6,OR(LEFT(D93,1)="4",LEFT(D93,1)="5"),K93="9DRWM"),"SDRWM","")</f>
        <v/>
      </c>
      <c r="X51" s="2" t="n"/>
    </row>
    <row r="52" ht="12" customFormat="1" customHeight="1" s="42">
      <c r="A52" s="60" t="n"/>
      <c r="B52" s="61" t="inlineStr">
        <is>
          <t>...4</t>
        </is>
      </c>
      <c r="C52" s="61" t="inlineStr">
        <is>
          <t>0040</t>
        </is>
      </c>
      <c r="D52" s="60" t="n">
        <v>587039</v>
      </c>
      <c r="E52" t="n">
        <v>8</v>
      </c>
      <c r="F52" t="n">
        <v>5</v>
      </c>
      <c r="G52" t="inlineStr">
        <is>
          <t>8995402</t>
        </is>
      </c>
      <c r="H52" t="inlineStr">
        <is>
          <t>58995402</t>
        </is>
      </c>
      <c r="I52" t="n">
        <v>58995402</v>
      </c>
      <c r="J52" t="n">
        <v>58995402</v>
      </c>
      <c r="K52" t="n">
        <v>589954</v>
      </c>
      <c r="L52" s="61" t="inlineStr">
        <is>
          <t>TOP EXHAUST PLATE</t>
        </is>
      </c>
      <c r="M52" s="61" t="inlineStr">
        <is>
          <t>B 587039   R  C</t>
        </is>
      </c>
      <c r="N52" s="60" t="n">
        <v>1</v>
      </c>
      <c r="O52" s="60" t="n"/>
      <c r="P52" s="60" t="inlineStr">
        <is>
          <t>EA</t>
        </is>
      </c>
      <c r="Q52" s="60" t="n">
        <v>4</v>
      </c>
      <c r="R52" s="60" t="inlineStr">
        <is>
          <t>KITM</t>
        </is>
      </c>
      <c r="S52" s="56" t="n"/>
      <c r="T52" s="12" t="n"/>
      <c r="U52" s="12" t="n"/>
      <c r="V52" s="12" t="n"/>
      <c r="W52" s="91">
        <f>IF(AND(LEN(D94)&gt;=6,OR(LEFT(D94,1)="4",LEFT(D94,1)="5"),K94="9DRWM"),"SDRWM","")</f>
        <v/>
      </c>
      <c r="X52" s="123" t="inlineStr">
        <is>
          <t>58995402</t>
        </is>
      </c>
      <c r="Y52" s="122" t="n"/>
      <c r="Z52" s="122" t="n"/>
    </row>
    <row r="53" ht="12" customFormat="1" customHeight="1" s="42">
      <c r="A53" s="60" t="n"/>
      <c r="B53" s="61" t="inlineStr">
        <is>
          <t>.....6</t>
        </is>
      </c>
      <c r="C53" s="61" t="inlineStr">
        <is>
          <t>0010</t>
        </is>
      </c>
      <c r="D53" s="60" t="n">
        <v>587193</v>
      </c>
      <c r="E53" t="n">
        <v>6</v>
      </c>
      <c r="F53" t="n">
        <v>5</v>
      </c>
      <c r="G53" t="inlineStr">
        <is>
          <t>89989</t>
        </is>
      </c>
      <c r="H53" t="inlineStr">
        <is>
          <t>589989</t>
        </is>
      </c>
      <c r="I53" t="n">
        <v>589989</v>
      </c>
      <c r="J53" t="n">
        <v>589989</v>
      </c>
      <c r="K53" t="n">
        <v>589989</v>
      </c>
      <c r="L53" s="61" t="inlineStr">
        <is>
          <t>FLAT MONITOR ARM</t>
        </is>
      </c>
      <c r="M53" s="61" t="inlineStr">
        <is>
          <t>C 587193   R  A</t>
        </is>
      </c>
      <c r="N53" s="60" t="n">
        <v>1</v>
      </c>
      <c r="O53" s="60" t="n"/>
      <c r="P53" s="60" t="inlineStr">
        <is>
          <t>EA</t>
        </is>
      </c>
      <c r="Q53" s="60" t="n">
        <v>4</v>
      </c>
      <c r="R53" s="60" t="inlineStr">
        <is>
          <t>KITM</t>
        </is>
      </c>
      <c r="S53" s="56" t="n"/>
      <c r="T53" s="12" t="n"/>
      <c r="U53" s="12" t="n"/>
      <c r="V53" s="12" t="n"/>
      <c r="W53" s="91">
        <f>IF(AND(LEN(D95)&gt;=6,OR(LEFT(D95,1)="4",LEFT(D95,1)="5"),K95="9DRWM"),"SDRWM","")</f>
        <v/>
      </c>
      <c r="X53" s="123" t="inlineStr">
        <is>
          <t>589989</t>
        </is>
      </c>
      <c r="Y53" s="122" t="n"/>
      <c r="Z53" s="122" t="n"/>
    </row>
    <row r="54" ht="12" customFormat="1" customHeight="1" s="42">
      <c r="A54" s="60" t="n"/>
      <c r="B54" s="61" t="inlineStr">
        <is>
          <t>....5</t>
        </is>
      </c>
      <c r="C54" s="61" t="inlineStr">
        <is>
          <t>0010</t>
        </is>
      </c>
      <c r="D54" s="60" t="n">
        <v>587467</v>
      </c>
      <c r="E54" t="n">
        <v>6</v>
      </c>
      <c r="F54" t="n">
        <v>5</v>
      </c>
      <c r="G54" t="inlineStr">
        <is>
          <t>89991</t>
        </is>
      </c>
      <c r="H54" t="inlineStr">
        <is>
          <t>589991</t>
        </is>
      </c>
      <c r="I54" t="n">
        <v>589991</v>
      </c>
      <c r="J54" t="n">
        <v>589991</v>
      </c>
      <c r="K54" t="n">
        <v>589991</v>
      </c>
      <c r="L54" s="61" t="inlineStr">
        <is>
          <t>ADJUSTABLE BRCKET-BLOWER MOTOR</t>
        </is>
      </c>
      <c r="M54" s="61" t="inlineStr">
        <is>
          <t>A  587467  R  B</t>
        </is>
      </c>
      <c r="N54" s="60" t="n">
        <v>1</v>
      </c>
      <c r="O54" s="60" t="n"/>
      <c r="P54" s="60" t="inlineStr">
        <is>
          <t>EA</t>
        </is>
      </c>
      <c r="Q54" s="60" t="n">
        <v>4</v>
      </c>
      <c r="R54" s="60" t="inlineStr">
        <is>
          <t>KITM</t>
        </is>
      </c>
      <c r="S54" s="56" t="n"/>
      <c r="T54" s="12" t="n"/>
      <c r="U54" s="12" t="n"/>
      <c r="V54" s="12" t="n"/>
      <c r="W54" s="91">
        <f>IF(AND(LEN(D96)&gt;=6,OR(LEFT(D96,1)="4",LEFT(D96,1)="5"),K96="9DRWM"),"SDRWM","")</f>
        <v/>
      </c>
      <c r="X54" s="123" t="inlineStr">
        <is>
          <t>589991</t>
        </is>
      </c>
      <c r="Y54" s="122" t="n"/>
      <c r="Z54" s="122" t="n"/>
    </row>
    <row r="55" ht="12" customFormat="1" customHeight="1" s="42">
      <c r="A55" s="60" t="n"/>
      <c r="B55" s="61" t="inlineStr">
        <is>
          <t>....5</t>
        </is>
      </c>
      <c r="C55" s="61" t="inlineStr">
        <is>
          <t>0010</t>
        </is>
      </c>
      <c r="D55" s="60" t="n">
        <v>587467</v>
      </c>
      <c r="E55" t="n">
        <v>6</v>
      </c>
      <c r="F55" t="n">
        <v>5</v>
      </c>
      <c r="G55" t="inlineStr">
        <is>
          <t>89991</t>
        </is>
      </c>
      <c r="H55" t="inlineStr">
        <is>
          <t>589991</t>
        </is>
      </c>
      <c r="I55" t="n">
        <v>589991</v>
      </c>
      <c r="J55" t="n">
        <v>589991</v>
      </c>
      <c r="K55" t="n">
        <v>589991</v>
      </c>
      <c r="L55" s="61" t="inlineStr">
        <is>
          <t>ADJUSTABLE BRCKET-BLOWER MOTOR</t>
        </is>
      </c>
      <c r="M55" s="61" t="inlineStr">
        <is>
          <t>A  587467  R  B</t>
        </is>
      </c>
      <c r="N55" s="60" t="n">
        <v>1</v>
      </c>
      <c r="O55" s="60" t="n"/>
      <c r="P55" s="60" t="inlineStr">
        <is>
          <t>EA</t>
        </is>
      </c>
      <c r="Q55" s="60" t="n">
        <v>4</v>
      </c>
      <c r="R55" s="60" t="inlineStr">
        <is>
          <t>KITM</t>
        </is>
      </c>
      <c r="S55" s="56" t="n"/>
      <c r="T55" s="12" t="n"/>
      <c r="U55" s="12" t="n"/>
      <c r="V55" s="12" t="n"/>
      <c r="W55" s="91">
        <f>IF(AND(LEN(D97)&gt;=6,OR(LEFT(D97,1)="4",LEFT(D97,1)="5"),K97="9DRWM"),"SDRWM","")</f>
        <v/>
      </c>
      <c r="X55" s="123" t="inlineStr">
        <is>
          <t>589991</t>
        </is>
      </c>
      <c r="Y55" s="122" t="n"/>
      <c r="Z55" s="122" t="n"/>
    </row>
    <row r="56" ht="12" customFormat="1" customHeight="1" s="42">
      <c r="A56" s="60" t="n"/>
      <c r="B56" s="61" t="inlineStr">
        <is>
          <t>....5</t>
        </is>
      </c>
      <c r="C56" s="61" t="inlineStr">
        <is>
          <t>0020</t>
        </is>
      </c>
      <c r="D56" s="60" t="n">
        <v>587477</v>
      </c>
      <c r="E56" t="n">
        <v>6</v>
      </c>
      <c r="F56" t="n">
        <v>5</v>
      </c>
      <c r="G56" t="inlineStr">
        <is>
          <t>89992</t>
        </is>
      </c>
      <c r="H56" t="inlineStr">
        <is>
          <t>589992</t>
        </is>
      </c>
      <c r="I56" t="n">
        <v>589992</v>
      </c>
      <c r="J56" t="n">
        <v>589992</v>
      </c>
      <c r="K56" t="n">
        <v>589992</v>
      </c>
      <c r="L56" s="61" t="inlineStr">
        <is>
          <t>BLOWER MOTR SUPPORT BRACKET</t>
        </is>
      </c>
      <c r="M56" s="61" t="inlineStr">
        <is>
          <t>A  587477  R  A</t>
        </is>
      </c>
      <c r="N56" s="60" t="n">
        <v>1</v>
      </c>
      <c r="O56" s="60" t="n"/>
      <c r="P56" s="60" t="inlineStr">
        <is>
          <t>EA</t>
        </is>
      </c>
      <c r="Q56" s="60" t="n">
        <v>4</v>
      </c>
      <c r="R56" s="60" t="inlineStr">
        <is>
          <t>KITM</t>
        </is>
      </c>
      <c r="S56" s="56" t="n"/>
      <c r="T56" s="12" t="n"/>
      <c r="U56" s="12" t="n"/>
      <c r="V56" s="12" t="n"/>
      <c r="W56" s="91">
        <f>IF(AND(LEN(D98)&gt;=6,OR(LEFT(D98,1)="4",LEFT(D98,1)="5"),K98="9DRWM"),"SDRWM","")</f>
        <v/>
      </c>
      <c r="X56" s="123" t="inlineStr">
        <is>
          <t>589992</t>
        </is>
      </c>
      <c r="Y56" s="122" t="n"/>
      <c r="Z56" s="122" t="n"/>
    </row>
    <row r="57" ht="12" customFormat="1" customHeight="1" s="42">
      <c r="A57" s="60" t="n"/>
      <c r="B57" s="61" t="inlineStr">
        <is>
          <t>....5</t>
        </is>
      </c>
      <c r="C57" s="61" t="inlineStr">
        <is>
          <t>0020</t>
        </is>
      </c>
      <c r="D57" s="60" t="n">
        <v>587477</v>
      </c>
      <c r="E57" t="n">
        <v>6</v>
      </c>
      <c r="F57" t="n">
        <v>5</v>
      </c>
      <c r="G57" t="inlineStr">
        <is>
          <t>89992</t>
        </is>
      </c>
      <c r="H57" t="inlineStr">
        <is>
          <t>589992</t>
        </is>
      </c>
      <c r="I57" t="n">
        <v>589992</v>
      </c>
      <c r="J57" t="n">
        <v>589992</v>
      </c>
      <c r="K57" t="n">
        <v>589992</v>
      </c>
      <c r="L57" s="61" t="inlineStr">
        <is>
          <t>BLOWER MOTR SUPPORT BRACKET</t>
        </is>
      </c>
      <c r="M57" s="61" t="inlineStr">
        <is>
          <t>A  587477  R  A</t>
        </is>
      </c>
      <c r="N57" s="60" t="n">
        <v>1</v>
      </c>
      <c r="O57" s="60" t="n"/>
      <c r="P57" s="60" t="inlineStr">
        <is>
          <t>EA</t>
        </is>
      </c>
      <c r="Q57" s="60" t="n">
        <v>4</v>
      </c>
      <c r="R57" s="60" t="inlineStr">
        <is>
          <t>KITM</t>
        </is>
      </c>
      <c r="S57" s="56" t="n"/>
      <c r="T57" s="12" t="n"/>
      <c r="U57" s="12" t="n"/>
      <c r="V57" s="12" t="n"/>
      <c r="W57" s="91">
        <f>IF(AND(LEN(D99)&gt;=6,OR(LEFT(D99,1)="4",LEFT(D99,1)="5"),K99="9DRWM"),"SDRWM","")</f>
        <v/>
      </c>
      <c r="X57" s="124" t="inlineStr">
        <is>
          <t>589992</t>
        </is>
      </c>
      <c r="Y57" s="122" t="n"/>
      <c r="Z57" s="122" t="n"/>
    </row>
    <row r="58" hidden="1" ht="12" customFormat="1" customHeight="1" s="42">
      <c r="A58" s="60" t="n"/>
      <c r="B58" s="61" t="inlineStr">
        <is>
          <t>.2</t>
        </is>
      </c>
      <c r="C58" s="61" t="inlineStr">
        <is>
          <t>0020</t>
        </is>
      </c>
      <c r="D58" s="60" t="n">
        <v>596282</v>
      </c>
      <c r="L58" s="61" t="inlineStr">
        <is>
          <t>CAP ASSY, MK5, 8 HOLE PATTERN</t>
        </is>
      </c>
      <c r="M58" s="61" t="inlineStr">
        <is>
          <t>B 596282   R  C</t>
        </is>
      </c>
      <c r="N58" s="60" t="n">
        <v>2</v>
      </c>
      <c r="O58" s="60" t="n"/>
      <c r="P58" s="60" t="inlineStr">
        <is>
          <t>EA</t>
        </is>
      </c>
      <c r="Q58" s="60" t="n">
        <v>0</v>
      </c>
      <c r="R58" s="60" t="n"/>
      <c r="S58" s="56" t="inlineStr">
        <is>
          <t>KITM TO BLANK</t>
        </is>
      </c>
      <c r="T58" s="12" t="n"/>
      <c r="U58" s="12" t="n"/>
      <c r="V58" s="12" t="n"/>
      <c r="W58" s="91">
        <f>IF(AND(LEN(D109)&gt;=6,OR(LEFT(D109,1)="4",LEFT(D109,1)="5"),K109="9DRWM"),"SDRWM","")</f>
        <v/>
      </c>
      <c r="X58" s="54" t="n"/>
    </row>
    <row r="59" ht="12" customFormat="1" customHeight="1" s="42">
      <c r="A59" s="60" t="n"/>
      <c r="B59" s="61" t="inlineStr">
        <is>
          <t>...4</t>
        </is>
      </c>
      <c r="C59" s="61" t="inlineStr">
        <is>
          <t>0090</t>
        </is>
      </c>
      <c r="D59" s="60" t="n">
        <v>587478</v>
      </c>
      <c r="E59" t="n">
        <v>6</v>
      </c>
      <c r="F59" t="n">
        <v>5</v>
      </c>
      <c r="G59" t="inlineStr">
        <is>
          <t>91833</t>
        </is>
      </c>
      <c r="H59" t="inlineStr">
        <is>
          <t>591833</t>
        </is>
      </c>
      <c r="I59" t="n">
        <v>591833</v>
      </c>
      <c r="J59" t="n">
        <v>591833</v>
      </c>
      <c r="K59" t="n">
        <v>591833</v>
      </c>
      <c r="L59" s="61" t="inlineStr">
        <is>
          <t>BLOWER MOTOR BKT. ASSY.-ADJ</t>
        </is>
      </c>
      <c r="M59" s="61" t="inlineStr">
        <is>
          <t>A  587478  ** B</t>
        </is>
      </c>
      <c r="N59" s="60" t="n">
        <v>1</v>
      </c>
      <c r="O59" s="60" t="n"/>
      <c r="P59" s="60" t="inlineStr">
        <is>
          <t>EA</t>
        </is>
      </c>
      <c r="Q59" s="60" t="n">
        <v>9</v>
      </c>
      <c r="R59" s="60" t="inlineStr">
        <is>
          <t>KITM</t>
        </is>
      </c>
      <c r="S59" s="56" t="n"/>
      <c r="T59" s="12" t="n"/>
      <c r="U59" s="12" t="n"/>
      <c r="V59" s="12" t="n"/>
      <c r="W59" s="91">
        <f>IF(AND(LEN(D111)&gt;=6,OR(LEFT(D111,1)="4",LEFT(D111,1)="5"),K111="9DRWM"),"SDRWM","")</f>
        <v/>
      </c>
      <c r="X59" s="124" t="inlineStr">
        <is>
          <t>591833</t>
        </is>
      </c>
      <c r="Y59" s="122" t="n"/>
      <c r="Z59" s="122" t="n"/>
    </row>
    <row r="60" ht="12" customFormat="1" customHeight="1" s="42">
      <c r="A60" s="60" t="n"/>
      <c r="B60" s="61" t="inlineStr">
        <is>
          <t>...4</t>
        </is>
      </c>
      <c r="C60" s="61" t="inlineStr">
        <is>
          <t>0120</t>
        </is>
      </c>
      <c r="D60" s="60" t="n">
        <v>587478</v>
      </c>
      <c r="E60" t="n">
        <v>6</v>
      </c>
      <c r="F60" t="n">
        <v>5</v>
      </c>
      <c r="G60" t="inlineStr">
        <is>
          <t>91834</t>
        </is>
      </c>
      <c r="H60" t="inlineStr">
        <is>
          <t>591834</t>
        </is>
      </c>
      <c r="I60" t="n">
        <v>591834</v>
      </c>
      <c r="J60" t="n">
        <v>591834</v>
      </c>
      <c r="K60" t="n">
        <v>591834</v>
      </c>
      <c r="L60" s="61" t="inlineStr">
        <is>
          <t>BLOWER MOTOR BKT. ASSY.-ADJ</t>
        </is>
      </c>
      <c r="M60" s="61" t="inlineStr">
        <is>
          <t>A  587478  ** B</t>
        </is>
      </c>
      <c r="N60" s="60" t="n">
        <v>1</v>
      </c>
      <c r="O60" s="60" t="n"/>
      <c r="P60" s="60" t="inlineStr">
        <is>
          <t>EA</t>
        </is>
      </c>
      <c r="Q60" s="60" t="n">
        <v>9</v>
      </c>
      <c r="R60" s="60" t="inlineStr">
        <is>
          <t>KITM</t>
        </is>
      </c>
      <c r="S60" s="56" t="n"/>
      <c r="T60" s="12" t="n"/>
      <c r="U60" s="12" t="n"/>
      <c r="V60" s="12" t="n"/>
      <c r="W60" s="91">
        <f>IF(AND(LEN(D112)&gt;=6,OR(LEFT(D112,1)="4",LEFT(D112,1)="5"),K112="9DRWM"),"SDRWM","")</f>
        <v/>
      </c>
      <c r="X60" s="124" t="inlineStr">
        <is>
          <t>591834</t>
        </is>
      </c>
      <c r="Y60" s="122" t="n"/>
      <c r="Z60" s="122" t="n"/>
    </row>
    <row r="61" ht="12" customFormat="1" customHeight="1" s="42">
      <c r="A61" s="60" t="n"/>
      <c r="B61" s="61" t="inlineStr">
        <is>
          <t>..3</t>
        </is>
      </c>
      <c r="C61" s="61" t="inlineStr">
        <is>
          <t>0030</t>
        </is>
      </c>
      <c r="D61" s="60" t="n">
        <v>587498</v>
      </c>
      <c r="E61" t="n">
        <v>8</v>
      </c>
      <c r="F61" t="n">
        <v>5</v>
      </c>
      <c r="G61" t="inlineStr">
        <is>
          <t>9200204</t>
        </is>
      </c>
      <c r="H61" t="inlineStr">
        <is>
          <t>59200204</t>
        </is>
      </c>
      <c r="I61" t="n">
        <v>59200204</v>
      </c>
      <c r="J61" t="n">
        <v>59200204</v>
      </c>
      <c r="K61" t="n">
        <v>592002</v>
      </c>
      <c r="L61" s="61" t="inlineStr">
        <is>
          <t>MUFFIN FAN ASSEMBLY</t>
        </is>
      </c>
      <c r="M61" s="61" t="inlineStr">
        <is>
          <t>B 587498   ** D</t>
        </is>
      </c>
      <c r="N61" s="60" t="n">
        <v>4</v>
      </c>
      <c r="O61" s="60" t="n"/>
      <c r="P61" s="60" t="inlineStr">
        <is>
          <t>EA</t>
        </is>
      </c>
      <c r="Q61" s="60" t="n">
        <v>9</v>
      </c>
      <c r="R61" s="60" t="inlineStr">
        <is>
          <t>9DRWM</t>
        </is>
      </c>
      <c r="S61" s="56" t="n"/>
      <c r="T61" s="12" t="n"/>
      <c r="U61" s="12" t="n"/>
      <c r="V61" s="12" t="n"/>
      <c r="W61" s="91">
        <f>IF(AND(LEN(D113)&gt;=6,OR(LEFT(D113,1)="4",LEFT(D113,1)="5"),K113="9DRWM"),"SDRWM","")</f>
        <v/>
      </c>
      <c r="X61" s="124" t="n"/>
      <c r="Y61" s="122" t="n"/>
      <c r="Z61" s="122" t="n"/>
    </row>
    <row r="62" hidden="1" ht="12" customFormat="1" customHeight="1" s="42">
      <c r="A62" s="60" t="n"/>
      <c r="B62" s="61" t="inlineStr">
        <is>
          <t>...4</t>
        </is>
      </c>
      <c r="C62" s="61" t="inlineStr">
        <is>
          <t>0010</t>
        </is>
      </c>
      <c r="D62" s="60" t="n">
        <v>2407240</v>
      </c>
      <c r="E62" t="n">
        <v>6</v>
      </c>
      <c r="F62" t="n">
        <v>5</v>
      </c>
      <c r="G62" t="inlineStr">
        <is>
          <t>92049</t>
        </is>
      </c>
      <c r="H62" t="inlineStr">
        <is>
          <t>592049</t>
        </is>
      </c>
      <c r="I62" t="n">
        <v>592049</v>
      </c>
      <c r="J62" t="n">
        <v>592049</v>
      </c>
      <c r="K62" t="n">
        <v>592049</v>
      </c>
      <c r="L62" s="61" t="inlineStr">
        <is>
          <t>TUBE AXIAL FAN</t>
        </is>
      </c>
      <c r="M62" s="61" t="inlineStr">
        <is>
          <t>A 2407240  R  C</t>
        </is>
      </c>
      <c r="N62" s="60" t="n">
        <v>4</v>
      </c>
      <c r="O62" s="60" t="n"/>
      <c r="P62" s="60" t="inlineStr">
        <is>
          <t>EA</t>
        </is>
      </c>
      <c r="Q62" s="60" t="n">
        <v>4</v>
      </c>
      <c r="R62" s="60" t="inlineStr">
        <is>
          <t>KITEL</t>
        </is>
      </c>
      <c r="S62" s="56" t="n"/>
      <c r="T62" s="12" t="n"/>
      <c r="U62" s="12" t="n"/>
      <c r="V62" s="12" t="n"/>
      <c r="W62" s="91">
        <f>IF(AND(LEN(D114)&gt;=6,OR(LEFT(D114,1)="4",LEFT(D114,1)="5"),K114="9DRWM"),"SDRWM","")</f>
        <v/>
      </c>
      <c r="X62" s="124" t="inlineStr">
        <is>
          <t>592049</t>
        </is>
      </c>
      <c r="Y62" s="122" t="n"/>
      <c r="Z62" s="122" t="n"/>
    </row>
    <row r="63" hidden="1" ht="12" customFormat="1" customHeight="1" s="42">
      <c r="A63" s="60" t="n"/>
      <c r="B63" s="61" t="inlineStr">
        <is>
          <t>.2</t>
        </is>
      </c>
      <c r="C63" s="61" t="inlineStr">
        <is>
          <t>0030</t>
        </is>
      </c>
      <c r="D63" s="60" t="n">
        <v>596284</v>
      </c>
      <c r="E63" t="n">
        <v>6</v>
      </c>
      <c r="F63" t="n">
        <v>5</v>
      </c>
      <c r="G63" t="inlineStr">
        <is>
          <t>93166</t>
        </is>
      </c>
      <c r="H63" t="inlineStr">
        <is>
          <t>593166</t>
        </is>
      </c>
      <c r="I63" t="n">
        <v>593166</v>
      </c>
      <c r="J63" t="n">
        <v>593166</v>
      </c>
      <c r="K63" t="n">
        <v>593166</v>
      </c>
      <c r="L63" s="61" t="inlineStr">
        <is>
          <t>CAP ASSY, EXH, MK5, 8-HOLE</t>
        </is>
      </c>
      <c r="M63" s="61" t="inlineStr">
        <is>
          <t>B 596284   R  C</t>
        </is>
      </c>
      <c r="N63" s="60" t="n">
        <v>1</v>
      </c>
      <c r="O63" s="60" t="n"/>
      <c r="P63" s="60" t="inlineStr">
        <is>
          <t>EA</t>
        </is>
      </c>
      <c r="Q63" s="60" t="n">
        <v>0</v>
      </c>
      <c r="R63" s="60" t="n"/>
      <c r="S63" s="56" t="inlineStr">
        <is>
          <t>KITM TO BLANK</t>
        </is>
      </c>
      <c r="T63" s="12" t="n"/>
      <c r="U63" s="12" t="n"/>
      <c r="V63" s="12" t="n"/>
      <c r="W63" s="91">
        <f>IF(AND(LEN(D126)&gt;=6,OR(LEFT(D126,1)="4",LEFT(D126,1)="5"),K126="9DRWM"),"SDRWM","")</f>
        <v/>
      </c>
      <c r="X63" s="124" t="inlineStr">
        <is>
          <t>593166</t>
        </is>
      </c>
      <c r="Y63" s="122" t="n"/>
      <c r="Z63" s="122" t="n"/>
    </row>
    <row r="64" ht="12" customFormat="1" customHeight="1" s="42">
      <c r="A64" s="60" t="n"/>
      <c r="B64" s="61" t="inlineStr">
        <is>
          <t>..3</t>
        </is>
      </c>
      <c r="C64" s="61" t="inlineStr">
        <is>
          <t>0030</t>
        </is>
      </c>
      <c r="D64" s="60" t="n">
        <v>587498</v>
      </c>
      <c r="E64" t="n">
        <v>6</v>
      </c>
      <c r="F64" t="n">
        <v>5</v>
      </c>
      <c r="G64" t="inlineStr">
        <is>
          <t>93177</t>
        </is>
      </c>
      <c r="H64" t="inlineStr">
        <is>
          <t>593177</t>
        </is>
      </c>
      <c r="I64" t="n">
        <v>593177</v>
      </c>
      <c r="J64" t="n">
        <v>593177</v>
      </c>
      <c r="K64" t="n">
        <v>593177</v>
      </c>
      <c r="L64" s="61" t="inlineStr">
        <is>
          <t>MUFFIN FAN ASSEMBLY</t>
        </is>
      </c>
      <c r="M64" s="61" t="inlineStr">
        <is>
          <t>B 587498   ** D</t>
        </is>
      </c>
      <c r="N64" s="60" t="n">
        <v>2</v>
      </c>
      <c r="O64" s="60" t="n"/>
      <c r="P64" s="60" t="inlineStr">
        <is>
          <t>EA</t>
        </is>
      </c>
      <c r="Q64" s="60" t="n">
        <v>9</v>
      </c>
      <c r="R64" s="60" t="inlineStr">
        <is>
          <t>9DRWM</t>
        </is>
      </c>
      <c r="S64" s="56" t="n"/>
      <c r="T64" s="12" t="n"/>
      <c r="U64" s="12" t="n"/>
      <c r="V64" s="12" t="n"/>
      <c r="W64" s="91">
        <f>IF(AND(LEN(D128)&gt;=6,OR(LEFT(D128,1)="4",LEFT(D128,1)="5"),K128="9DRWM"),"SDRWM","")</f>
        <v/>
      </c>
      <c r="X64" s="124" t="inlineStr">
        <is>
          <t>593177</t>
        </is>
      </c>
      <c r="Y64" s="122" t="n"/>
      <c r="Z64" s="122" t="n"/>
    </row>
    <row r="65" ht="12" customFormat="1" customHeight="1" s="42">
      <c r="A65" s="60" t="n"/>
      <c r="B65" s="61" t="inlineStr">
        <is>
          <t>..3</t>
        </is>
      </c>
      <c r="C65" s="61" t="inlineStr">
        <is>
          <t>0010</t>
        </is>
      </c>
      <c r="D65" s="60" t="n">
        <v>588928</v>
      </c>
      <c r="E65" t="n">
        <v>6</v>
      </c>
      <c r="F65" t="n">
        <v>5</v>
      </c>
      <c r="G65" t="inlineStr">
        <is>
          <t>93252</t>
        </is>
      </c>
      <c r="H65" t="inlineStr">
        <is>
          <t>593252</t>
        </is>
      </c>
      <c r="I65" t="n">
        <v>593252</v>
      </c>
      <c r="J65" t="n">
        <v>593252</v>
      </c>
      <c r="K65" t="n">
        <v>593252</v>
      </c>
      <c r="L65" s="61" t="inlineStr">
        <is>
          <t>WIRE HARNESS ROUTING PROCEDURE</t>
        </is>
      </c>
      <c r="M65" s="61" t="inlineStr">
        <is>
          <t>BM 588928  R  E</t>
        </is>
      </c>
      <c r="N65" s="60" t="n">
        <v>0</v>
      </c>
      <c r="O65" s="60" t="n"/>
      <c r="P65" s="60" t="inlineStr">
        <is>
          <t>EA</t>
        </is>
      </c>
      <c r="Q65" s="60" t="n">
        <v>9</v>
      </c>
      <c r="R65" s="60" t="inlineStr">
        <is>
          <t>9DRWM</t>
        </is>
      </c>
      <c r="S65" s="56" t="n"/>
      <c r="T65" s="12" t="n"/>
      <c r="U65" s="12" t="n"/>
      <c r="V65" s="12" t="n"/>
      <c r="W65" s="91">
        <f>IF(AND(LEN(D129)&gt;=6,OR(LEFT(D129,1)="4",LEFT(D129,1)="5"),K129="9DRWM"),"SDRWM","")</f>
        <v/>
      </c>
      <c r="X65" s="124" t="inlineStr">
        <is>
          <t>593252</t>
        </is>
      </c>
      <c r="Y65" s="122" t="n"/>
      <c r="Z65" s="122" t="n"/>
    </row>
    <row r="66" ht="12" customFormat="1" customHeight="1" s="42">
      <c r="A66" s="60" t="n"/>
      <c r="B66" s="61" t="inlineStr">
        <is>
          <t>..3</t>
        </is>
      </c>
      <c r="C66" s="61" t="inlineStr">
        <is>
          <t>0020</t>
        </is>
      </c>
      <c r="D66" s="60" t="n">
        <v>589021</v>
      </c>
      <c r="E66" t="n">
        <v>8</v>
      </c>
      <c r="F66" t="n">
        <v>5</v>
      </c>
      <c r="G66" t="inlineStr">
        <is>
          <t>9336502</t>
        </is>
      </c>
      <c r="H66" t="inlineStr">
        <is>
          <t>59336502</t>
        </is>
      </c>
      <c r="I66" t="n">
        <v>59336502</v>
      </c>
      <c r="J66" t="n">
        <v>59336502</v>
      </c>
      <c r="K66" t="n">
        <v>593365</v>
      </c>
      <c r="L66" s="61" t="inlineStr">
        <is>
          <t>WIREWAY LOCATION</t>
        </is>
      </c>
      <c r="M66" s="61" t="inlineStr">
        <is>
          <t>D  589021  **</t>
        </is>
      </c>
      <c r="N66" s="60" t="n">
        <v>0</v>
      </c>
      <c r="O66" s="60" t="n"/>
      <c r="P66" s="60" t="inlineStr">
        <is>
          <t>RF</t>
        </is>
      </c>
      <c r="Q66" s="60" t="n">
        <v>9</v>
      </c>
      <c r="R66" s="60" t="inlineStr">
        <is>
          <t>9DRWM</t>
        </is>
      </c>
      <c r="S66" s="56" t="n"/>
      <c r="T66" s="12" t="n"/>
      <c r="U66" s="12" t="n"/>
      <c r="V66" s="12" t="n"/>
      <c r="W66" s="91">
        <f>IF(AND(LEN(D130)&gt;=6,OR(LEFT(D130,1)="4",LEFT(D130,1)="5"),K130="9DRWM"),"SDRWM","")</f>
        <v/>
      </c>
      <c r="X66" s="124" t="n"/>
      <c r="Y66" s="122" t="n"/>
      <c r="Z66" s="122" t="n"/>
    </row>
    <row r="67" hidden="1" ht="12" customFormat="1" customHeight="1" s="42">
      <c r="A67" s="60" t="n"/>
      <c r="B67" s="61" t="inlineStr">
        <is>
          <t>...4</t>
        </is>
      </c>
      <c r="C67" s="61" t="inlineStr">
        <is>
          <t>0010</t>
        </is>
      </c>
      <c r="D67" s="60" t="n">
        <v>2407240</v>
      </c>
      <c r="E67" t="n">
        <v>6</v>
      </c>
      <c r="F67" t="n">
        <v>5</v>
      </c>
      <c r="G67" t="inlineStr">
        <is>
          <t>93366</t>
        </is>
      </c>
      <c r="H67" t="inlineStr">
        <is>
          <t>593366</t>
        </is>
      </c>
      <c r="I67" t="n">
        <v>593366</v>
      </c>
      <c r="J67" t="n">
        <v>593366</v>
      </c>
      <c r="K67" t="n">
        <v>593366</v>
      </c>
      <c r="L67" s="61" t="inlineStr">
        <is>
          <t>TUBE AXIAL FAN</t>
        </is>
      </c>
      <c r="M67" s="61" t="inlineStr">
        <is>
          <t>A 2407240  R  C</t>
        </is>
      </c>
      <c r="N67" s="60" t="n">
        <v>2</v>
      </c>
      <c r="O67" s="60" t="n"/>
      <c r="P67" s="60" t="inlineStr">
        <is>
          <t>EA</t>
        </is>
      </c>
      <c r="Q67" s="60" t="n">
        <v>4</v>
      </c>
      <c r="R67" s="60" t="inlineStr">
        <is>
          <t>KITEL</t>
        </is>
      </c>
      <c r="S67" s="56" t="n"/>
      <c r="T67" s="12" t="n"/>
      <c r="U67" s="12" t="n"/>
      <c r="V67" s="12" t="n"/>
      <c r="W67" s="91">
        <f>IF(AND(LEN(D131)&gt;=6,OR(LEFT(D131,1)="4",LEFT(D131,1)="5"),K131="9DRWM"),"SDRWM","")</f>
        <v/>
      </c>
      <c r="X67" s="124" t="inlineStr">
        <is>
          <t>593366</t>
        </is>
      </c>
      <c r="Y67" s="122" t="n"/>
      <c r="Z67" s="122" t="n"/>
    </row>
    <row r="68" hidden="1" ht="12" customFormat="1" customHeight="1" s="42">
      <c r="A68" s="60" t="n"/>
      <c r="B68" s="61" t="inlineStr">
        <is>
          <t>.2</t>
        </is>
      </c>
      <c r="C68" s="61" t="inlineStr">
        <is>
          <t>0040</t>
        </is>
      </c>
      <c r="D68" s="60" t="n">
        <v>59628601</v>
      </c>
      <c r="E68" t="n">
        <v>8</v>
      </c>
      <c r="F68" t="n">
        <v>5</v>
      </c>
      <c r="G68" t="inlineStr">
        <is>
          <t>9385601</t>
        </is>
      </c>
      <c r="H68" t="inlineStr">
        <is>
          <t>59385601</t>
        </is>
      </c>
      <c r="I68" t="n">
        <v>59385601</v>
      </c>
      <c r="J68" t="n">
        <v>59385601</v>
      </c>
      <c r="K68" t="n">
        <v>593856</v>
      </c>
      <c r="L68" s="61" t="inlineStr">
        <is>
          <t>PROP ROD ASSY,RETRACTABLE</t>
        </is>
      </c>
      <c r="M68" s="61" t="inlineStr">
        <is>
          <t>B 596286XX R  C</t>
        </is>
      </c>
      <c r="N68" s="60" t="n">
        <v>3</v>
      </c>
      <c r="O68" s="60" t="n"/>
      <c r="P68" s="60" t="inlineStr">
        <is>
          <t>EA</t>
        </is>
      </c>
      <c r="Q68" s="60" t="n">
        <v>0</v>
      </c>
      <c r="R68" s="60" t="n"/>
      <c r="S68" s="56" t="inlineStr">
        <is>
          <t>9DRWM TO BLANK</t>
        </is>
      </c>
      <c r="T68" s="12" t="n"/>
      <c r="U68" s="12" t="n"/>
      <c r="V68" s="12" t="n"/>
      <c r="W68" s="91">
        <f>IF(AND(LEN(D143)&gt;=6,OR(LEFT(D143,1)="4",LEFT(D143,1)="5"),K143="9DRWM"),"SDRWM","")</f>
        <v/>
      </c>
      <c r="X68" s="124" t="n"/>
      <c r="Y68" s="122" t="n"/>
      <c r="Z68" s="122" t="n"/>
    </row>
    <row r="69" hidden="1" ht="12" customFormat="1" customHeight="1" s="42">
      <c r="A69" s="60" t="n"/>
      <c r="B69" s="61" t="inlineStr">
        <is>
          <t>..3</t>
        </is>
      </c>
      <c r="C69" s="61" t="inlineStr">
        <is>
          <t>0010</t>
        </is>
      </c>
      <c r="D69" s="60" t="n">
        <v>59628701</v>
      </c>
      <c r="E69" t="n">
        <v>8</v>
      </c>
      <c r="F69" t="n">
        <v>5</v>
      </c>
      <c r="G69" t="inlineStr">
        <is>
          <t>9386601</t>
        </is>
      </c>
      <c r="H69" t="inlineStr">
        <is>
          <t>59386601</t>
        </is>
      </c>
      <c r="I69" t="n">
        <v>59386601</v>
      </c>
      <c r="J69" t="n">
        <v>59386601</v>
      </c>
      <c r="K69" t="n">
        <v>593866</v>
      </c>
      <c r="L69" s="61" t="inlineStr">
        <is>
          <t>SUPPORT BRACKET,RETRACTABLE</t>
        </is>
      </c>
      <c r="M69" s="61" t="inlineStr">
        <is>
          <t>B 596287XX R  C</t>
        </is>
      </c>
      <c r="N69" s="60" t="n">
        <v>3</v>
      </c>
      <c r="O69" s="60" t="n"/>
      <c r="P69" s="60" t="inlineStr">
        <is>
          <t>EA</t>
        </is>
      </c>
      <c r="Q69" s="60" t="n">
        <v>4</v>
      </c>
      <c r="R69" s="60" t="inlineStr">
        <is>
          <t>KITMS2</t>
        </is>
      </c>
      <c r="S69" s="56" t="n"/>
      <c r="T69" s="12" t="n"/>
      <c r="U69" s="12" t="n"/>
      <c r="V69" s="12" t="n"/>
      <c r="W69" s="91">
        <f>IF(AND(LEN(D144)&gt;=6,OR(LEFT(D144,1)="4",LEFT(D144,1)="5"),K144="9DRWM"),"SDRWM","")</f>
        <v/>
      </c>
      <c r="X69" s="124" t="n"/>
      <c r="Y69" s="122" t="n"/>
      <c r="Z69" s="122" t="n"/>
    </row>
    <row r="70" hidden="1" ht="12" customFormat="1" customHeight="1" s="42">
      <c r="A70" s="60" t="n"/>
      <c r="B70" s="61" t="inlineStr">
        <is>
          <t>..3</t>
        </is>
      </c>
      <c r="C70" s="61" t="inlineStr">
        <is>
          <t>0030</t>
        </is>
      </c>
      <c r="D70" s="60" t="n">
        <v>596289</v>
      </c>
      <c r="L70" s="61" t="inlineStr">
        <is>
          <t>PIVOT BLOCK,PROP ROD,STAY</t>
        </is>
      </c>
      <c r="M70" s="61" t="inlineStr">
        <is>
          <t>A 596289   R</t>
        </is>
      </c>
      <c r="N70" s="60" t="n">
        <v>3</v>
      </c>
      <c r="O70" s="60" t="n"/>
      <c r="P70" s="60" t="inlineStr">
        <is>
          <t>EA</t>
        </is>
      </c>
      <c r="Q70" s="60" t="n">
        <v>4</v>
      </c>
      <c r="R70" s="60" t="inlineStr">
        <is>
          <t>KITMS</t>
        </is>
      </c>
      <c r="S70" s="56" t="n"/>
      <c r="T70" s="12" t="n"/>
      <c r="U70" s="12" t="n"/>
      <c r="V70" s="12" t="n"/>
      <c r="W70" s="91">
        <f>IF(AND(LEN(D146)&gt;=6,OR(LEFT(D146,1)="4",LEFT(D146,1)="5"),K146="9DRWM"),"SDRWM","")</f>
        <v/>
      </c>
      <c r="X70" s="54" t="n"/>
    </row>
    <row r="71" hidden="1" ht="12" customFormat="1" customHeight="1" s="42">
      <c r="A71" s="60" t="n"/>
      <c r="B71" s="61" t="inlineStr">
        <is>
          <t>.2</t>
        </is>
      </c>
      <c r="C71" s="61" t="inlineStr">
        <is>
          <t>0050</t>
        </is>
      </c>
      <c r="D71" s="60" t="n">
        <v>59628602</v>
      </c>
      <c r="L71" s="61" t="inlineStr">
        <is>
          <t>PROP ROD ASSY,RETRACTABLE</t>
        </is>
      </c>
      <c r="M71" s="61" t="inlineStr">
        <is>
          <t>B 596286XX R  C</t>
        </is>
      </c>
      <c r="N71" s="60" t="n">
        <v>3</v>
      </c>
      <c r="O71" s="60" t="n"/>
      <c r="P71" s="60" t="inlineStr">
        <is>
          <t>EA</t>
        </is>
      </c>
      <c r="Q71" s="60" t="n">
        <v>0</v>
      </c>
      <c r="R71" s="60" t="n"/>
      <c r="S71" s="56" t="inlineStr">
        <is>
          <t>9DRWM TO BLANK</t>
        </is>
      </c>
      <c r="T71" s="12" t="n"/>
      <c r="U71" s="12" t="n"/>
      <c r="V71" s="12" t="n"/>
      <c r="W71" s="91">
        <f>IF(AND(LEN(D151)&gt;=6,OR(LEFT(D151,1)="4",LEFT(D151,1)="5"),K151="9DRWM"),"SDRWM","")</f>
        <v/>
      </c>
      <c r="X71" s="54" t="n"/>
    </row>
    <row r="72" hidden="1" ht="12" customFormat="1" customHeight="1" s="42">
      <c r="A72" s="60" t="n"/>
      <c r="B72" s="61" t="inlineStr">
        <is>
          <t>..3</t>
        </is>
      </c>
      <c r="C72" s="61" t="inlineStr">
        <is>
          <t>0010</t>
        </is>
      </c>
      <c r="D72" s="60" t="n">
        <v>59628702</v>
      </c>
      <c r="L72" s="61" t="inlineStr">
        <is>
          <t>SUPPORT BRACKET,RETRACTABLE</t>
        </is>
      </c>
      <c r="M72" s="61" t="inlineStr">
        <is>
          <t>B 596287XX R  C</t>
        </is>
      </c>
      <c r="N72" s="60" t="n">
        <v>3</v>
      </c>
      <c r="O72" s="60" t="n"/>
      <c r="P72" s="60" t="inlineStr">
        <is>
          <t>EA</t>
        </is>
      </c>
      <c r="Q72" s="60" t="n">
        <v>4</v>
      </c>
      <c r="R72" s="60" t="inlineStr">
        <is>
          <t>KITMS2</t>
        </is>
      </c>
      <c r="S72" s="56" t="n"/>
      <c r="T72" s="12" t="n"/>
      <c r="U72" s="12" t="n"/>
      <c r="V72" s="12" t="n"/>
      <c r="W72" s="91">
        <f>IF(AND(LEN(D152)&gt;=6,OR(LEFT(D152,1)="4",LEFT(D152,1)="5"),K152="9DRWM"),"SDRWM","")</f>
        <v/>
      </c>
      <c r="X72" s="54" t="n"/>
    </row>
    <row r="73" hidden="1" ht="12" customFormat="1" customHeight="1" s="42">
      <c r="A73" s="60" t="n"/>
      <c r="B73" s="61" t="inlineStr">
        <is>
          <t>..3</t>
        </is>
      </c>
      <c r="C73" s="61" t="inlineStr">
        <is>
          <t>0030</t>
        </is>
      </c>
      <c r="D73" s="60" t="n">
        <v>596289</v>
      </c>
      <c r="L73" s="61" t="inlineStr">
        <is>
          <t>PIVOT BLOCK,PROP ROD,STAY</t>
        </is>
      </c>
      <c r="M73" s="61" t="inlineStr">
        <is>
          <t>A 596289   R</t>
        </is>
      </c>
      <c r="N73" s="60" t="n">
        <v>3</v>
      </c>
      <c r="O73" s="60" t="n"/>
      <c r="P73" s="60" t="inlineStr">
        <is>
          <t>EA</t>
        </is>
      </c>
      <c r="Q73" s="60" t="n">
        <v>4</v>
      </c>
      <c r="R73" s="60" t="inlineStr">
        <is>
          <t>KITMS</t>
        </is>
      </c>
      <c r="S73" s="56" t="n"/>
      <c r="T73" s="12" t="n"/>
      <c r="U73" s="12" t="n"/>
      <c r="V73" s="12" t="n"/>
      <c r="W73" s="91">
        <f>IF(AND(LEN(D154)&gt;=6,OR(LEFT(D154,1)="4",LEFT(D154,1)="5"),K154="9DRWM"),"SDRWM","")</f>
        <v/>
      </c>
      <c r="X73" s="54" t="n"/>
    </row>
    <row r="74" ht="12" customFormat="1" customHeight="1" s="42">
      <c r="A74" s="60" t="n"/>
      <c r="B74" s="61" t="inlineStr">
        <is>
          <t>...4</t>
        </is>
      </c>
      <c r="C74" s="61" t="inlineStr">
        <is>
          <t>0030</t>
        </is>
      </c>
      <c r="D74" s="60" t="n">
        <v>589272</v>
      </c>
      <c r="L74" s="61" t="inlineStr">
        <is>
          <t>EXHAUST PORT, 4 INTO 1</t>
        </is>
      </c>
      <c r="M74" s="61" t="inlineStr">
        <is>
          <t>C  589272  R  B</t>
        </is>
      </c>
      <c r="N74" s="60" t="n">
        <v>1</v>
      </c>
      <c r="O74" s="60" t="n"/>
      <c r="P74" s="60" t="inlineStr">
        <is>
          <t>EA</t>
        </is>
      </c>
      <c r="Q74" s="60" t="n">
        <v>4</v>
      </c>
      <c r="R74" s="60" t="inlineStr">
        <is>
          <t>KITM</t>
        </is>
      </c>
      <c r="S74" s="56" t="n"/>
      <c r="T74" s="12" t="n"/>
      <c r="U74" s="12" t="n"/>
      <c r="V74" s="12" t="n"/>
      <c r="W74" s="91">
        <f>IF(AND(LEN(D159)&gt;=6,OR(LEFT(D159,1)="4",LEFT(D159,1)="5"),K159="9DRWM"),"SDRWM","")</f>
        <v/>
      </c>
      <c r="X74" s="54" t="n"/>
    </row>
    <row r="75" ht="12" customFormat="1" customHeight="1" s="42">
      <c r="A75" s="60" t="n"/>
      <c r="B75" s="61" t="inlineStr">
        <is>
          <t>..3</t>
        </is>
      </c>
      <c r="C75" s="61" t="inlineStr">
        <is>
          <t>0060</t>
        </is>
      </c>
      <c r="D75" s="60" t="n">
        <v>589444</v>
      </c>
      <c r="L75" s="61" t="inlineStr">
        <is>
          <t>EXHAUST FLANGE, 100MM (4") DIA</t>
        </is>
      </c>
      <c r="M75" s="61" t="inlineStr">
        <is>
          <t>B 589444   R  C</t>
        </is>
      </c>
      <c r="N75" s="60" t="n">
        <v>1</v>
      </c>
      <c r="O75" s="60" t="n"/>
      <c r="P75" s="60" t="inlineStr">
        <is>
          <t>EA</t>
        </is>
      </c>
      <c r="Q75" s="60" t="n">
        <v>4</v>
      </c>
      <c r="R75" s="60" t="inlineStr">
        <is>
          <t>KITM</t>
        </is>
      </c>
      <c r="S75" s="56" t="n"/>
      <c r="T75" s="12" t="n"/>
      <c r="U75" s="12" t="n"/>
      <c r="V75" s="12" t="n"/>
      <c r="W75" s="91">
        <f>IF(AND(LEN(D165)&gt;=6,OR(LEFT(D165,1)="4",LEFT(D165,1)="5"),K165="9DRWM"),"SDRWM","")</f>
        <v/>
      </c>
      <c r="X75" s="54" t="n"/>
    </row>
    <row r="76" hidden="1" ht="12" customFormat="1" customHeight="1" s="42">
      <c r="A76" s="57" t="n"/>
      <c r="B76" s="58" t="inlineStr">
        <is>
          <t>1</t>
        </is>
      </c>
      <c r="C76" s="58" t="inlineStr">
        <is>
          <t>0020</t>
        </is>
      </c>
      <c r="D76" s="57" t="n">
        <v>5900067</v>
      </c>
      <c r="L76" s="58" t="inlineStr">
        <is>
          <t>BASE ASSEMBLY NEW 18XX MK5</t>
        </is>
      </c>
      <c r="M76" s="58" t="inlineStr">
        <is>
          <t>BM5900067  R  E</t>
        </is>
      </c>
      <c r="N76" s="57" t="n">
        <v>1</v>
      </c>
      <c r="O76" s="57" t="n"/>
      <c r="P76" s="57" t="inlineStr">
        <is>
          <t>EA</t>
        </is>
      </c>
      <c r="Q76" s="57" t="n">
        <v>0</v>
      </c>
      <c r="R76" s="57" t="n"/>
      <c r="S76" s="59" t="n"/>
      <c r="T76" s="43" t="n"/>
      <c r="U76" s="43" t="n"/>
      <c r="V76" s="43" t="n"/>
      <c r="W76" s="44">
        <f>IF(AND(LEN(D168)&gt;=6,OR(LEFT(D168,1)="4",LEFT(D168,1)="5"),K168="9DRWM"),"SDRWM","")</f>
        <v/>
      </c>
      <c r="X76" s="54" t="n"/>
    </row>
    <row r="77" ht="12" customFormat="1" customHeight="1" s="42">
      <c r="A77" s="60" t="n"/>
      <c r="B77" s="61" t="inlineStr">
        <is>
          <t>..3</t>
        </is>
      </c>
      <c r="C77" s="61" t="inlineStr">
        <is>
          <t>0020</t>
        </is>
      </c>
      <c r="D77" s="60" t="n">
        <v>589460</v>
      </c>
      <c r="L77" s="61" t="inlineStr">
        <is>
          <t>CAP HINGE, MK3</t>
        </is>
      </c>
      <c r="M77" s="61" t="inlineStr">
        <is>
          <t>B 589460   R  F</t>
        </is>
      </c>
      <c r="N77" s="60" t="n">
        <v>4</v>
      </c>
      <c r="O77" s="60" t="n"/>
      <c r="P77" s="60" t="inlineStr">
        <is>
          <t>EA</t>
        </is>
      </c>
      <c r="Q77" s="60" t="n">
        <v>4</v>
      </c>
      <c r="R77" s="60" t="inlineStr">
        <is>
          <t>KITM</t>
        </is>
      </c>
      <c r="S77" s="56" t="n"/>
      <c r="T77" s="12" t="n"/>
      <c r="U77" s="12" t="n"/>
      <c r="V77" s="12" t="n"/>
      <c r="W77" s="91">
        <f>IF(AND(LEN(D169)&gt;=6,OR(LEFT(D169,1)="4",LEFT(D169,1)="5"),K169="9DRWM"),"SDRWM","")</f>
        <v/>
      </c>
      <c r="X77" s="54" t="n"/>
    </row>
    <row r="78" hidden="1" ht="12" customFormat="1" customHeight="1" s="42">
      <c r="A78" s="60" t="n"/>
      <c r="B78" s="61" t="inlineStr">
        <is>
          <t>.2</t>
        </is>
      </c>
      <c r="C78" s="61" t="inlineStr">
        <is>
          <t>0020</t>
        </is>
      </c>
      <c r="D78" s="60" t="n">
        <v>590007101</v>
      </c>
      <c r="L78" s="61" t="inlineStr">
        <is>
          <t>BASE FRAME NEW18MK5, 1 PCS ASY</t>
        </is>
      </c>
      <c r="M78" s="61" t="inlineStr">
        <is>
          <t>D 5900071XXR  B</t>
        </is>
      </c>
      <c r="N78" s="60" t="n">
        <v>1</v>
      </c>
      <c r="O78" s="60" t="n"/>
      <c r="P78" s="60" t="inlineStr">
        <is>
          <t>EA</t>
        </is>
      </c>
      <c r="Q78" s="60" t="n">
        <v>0</v>
      </c>
      <c r="R78" s="60" t="n"/>
      <c r="S78" s="56" t="n"/>
      <c r="T78" s="12" t="n"/>
      <c r="U78" s="12" t="n"/>
      <c r="V78" s="12" t="n"/>
      <c r="W78" s="91">
        <f>IF(AND(LEN(D170)&gt;=6,OR(LEFT(D170,1)="4",LEFT(D170,1)="5"),K170="9DRWM"),"SDRWM","")</f>
        <v/>
      </c>
      <c r="X78" s="54" t="n"/>
    </row>
    <row r="79" ht="12" customFormat="1" customHeight="1" s="42">
      <c r="A79" s="60" t="n"/>
      <c r="B79" s="61" t="inlineStr">
        <is>
          <t>..3</t>
        </is>
      </c>
      <c r="C79" s="61" t="inlineStr">
        <is>
          <t>0020</t>
        </is>
      </c>
      <c r="D79" s="60" t="n">
        <v>589460</v>
      </c>
      <c r="L79" s="61" t="inlineStr">
        <is>
          <t>CAP HINGE, MK3</t>
        </is>
      </c>
      <c r="M79" s="61" t="inlineStr">
        <is>
          <t>B 589460   R  F</t>
        </is>
      </c>
      <c r="N79" s="60" t="n">
        <v>2</v>
      </c>
      <c r="O79" s="60" t="n"/>
      <c r="P79" s="60" t="inlineStr">
        <is>
          <t>EA</t>
        </is>
      </c>
      <c r="Q79" s="60" t="n">
        <v>4</v>
      </c>
      <c r="R79" s="60" t="inlineStr">
        <is>
          <t>KITM</t>
        </is>
      </c>
      <c r="S79" s="56" t="n"/>
      <c r="T79" s="12" t="n"/>
      <c r="U79" s="12" t="n"/>
      <c r="V79" s="12" t="n"/>
      <c r="W79" s="91">
        <f>IF(AND(LEN(D171)&gt;=6,OR(LEFT(D171,1)="4",LEFT(D171,1)="5"),K171="9DRWM"),"SDRWM","")</f>
        <v/>
      </c>
      <c r="X79" s="2" t="n"/>
    </row>
    <row r="80" ht="12" customFormat="1" customHeight="1" s="42">
      <c r="A80" s="60" t="n"/>
      <c r="B80" s="61" t="inlineStr">
        <is>
          <t>..3</t>
        </is>
      </c>
      <c r="C80" s="61" t="inlineStr">
        <is>
          <t>0070</t>
        </is>
      </c>
      <c r="D80" s="60" t="n">
        <v>589597</v>
      </c>
      <c r="E80" t="n">
        <v>6</v>
      </c>
      <c r="F80" t="n">
        <v>5</v>
      </c>
      <c r="G80" t="inlineStr">
        <is>
          <t>94344</t>
        </is>
      </c>
      <c r="H80" t="inlineStr">
        <is>
          <t>594344</t>
        </is>
      </c>
      <c r="I80" t="n">
        <v>594344</v>
      </c>
      <c r="J80" t="n">
        <v>594344</v>
      </c>
      <c r="K80" t="n">
        <v>594344</v>
      </c>
      <c r="L80" s="61" t="inlineStr">
        <is>
          <t>BRACKET, ECM AIR</t>
        </is>
      </c>
      <c r="M80" s="61" t="inlineStr">
        <is>
          <t>B 589597   R  A</t>
        </is>
      </c>
      <c r="N80" s="60" t="n">
        <v>2</v>
      </c>
      <c r="O80" s="60" t="n"/>
      <c r="P80" s="60" t="inlineStr">
        <is>
          <t>EA</t>
        </is>
      </c>
      <c r="Q80" s="60" t="n">
        <v>4</v>
      </c>
      <c r="R80" s="60" t="inlineStr">
        <is>
          <t>KITM</t>
        </is>
      </c>
      <c r="S80" s="56" t="n"/>
      <c r="T80" s="12" t="n"/>
      <c r="U80" s="12" t="n"/>
      <c r="V80" s="12" t="n"/>
      <c r="W80" s="91">
        <f>IF(AND(LEN(D172)&gt;=6,OR(LEFT(D172,1)="4",LEFT(D172,1)="5"),K172="9DRWM"),"SDRWM","")</f>
        <v/>
      </c>
      <c r="X80" s="123" t="inlineStr">
        <is>
          <t>594344</t>
        </is>
      </c>
      <c r="Y80" s="122" t="n"/>
      <c r="Z80" s="122" t="n"/>
    </row>
    <row r="81" ht="12" customFormat="1" customHeight="1" s="42">
      <c r="A81" s="60" t="n"/>
      <c r="B81" s="61" t="inlineStr">
        <is>
          <t>....5</t>
        </is>
      </c>
      <c r="C81" s="61" t="inlineStr">
        <is>
          <t>0010</t>
        </is>
      </c>
      <c r="D81" s="60" t="n">
        <v>58960501</v>
      </c>
      <c r="E81" t="n">
        <v>6</v>
      </c>
      <c r="F81" t="n">
        <v>5</v>
      </c>
      <c r="G81" t="inlineStr">
        <is>
          <t>94433</t>
        </is>
      </c>
      <c r="H81" t="inlineStr">
        <is>
          <t>594433</t>
        </is>
      </c>
      <c r="I81" t="n">
        <v>594433</v>
      </c>
      <c r="J81" t="n">
        <v>594433</v>
      </c>
      <c r="K81" t="n">
        <v>594433</v>
      </c>
      <c r="L81" s="61" t="inlineStr">
        <is>
          <t>BRIDGE, REMOTE EXHAUST, MK3.5</t>
        </is>
      </c>
      <c r="M81" s="61" t="inlineStr">
        <is>
          <t>D 589605XX R  H</t>
        </is>
      </c>
      <c r="N81" s="60" t="n">
        <v>1</v>
      </c>
      <c r="O81" s="60" t="n"/>
      <c r="P81" s="60" t="inlineStr">
        <is>
          <t>EA</t>
        </is>
      </c>
      <c r="Q81" s="60" t="n">
        <v>4</v>
      </c>
      <c r="R81" s="60" t="inlineStr">
        <is>
          <t>KITM</t>
        </is>
      </c>
      <c r="S81" s="56" t="n"/>
      <c r="T81" s="12" t="n"/>
      <c r="U81" s="12" t="n"/>
      <c r="V81" s="12" t="n"/>
      <c r="W81" s="91">
        <f>IF(AND(LEN(D173)&gt;=6,OR(LEFT(D173,1)="4",LEFT(D173,1)="5"),K173="9DRWM"),"SDRWM","")</f>
        <v/>
      </c>
      <c r="X81" s="123" t="n"/>
      <c r="Y81" s="122" t="n"/>
      <c r="Z81" s="122" t="n"/>
    </row>
    <row r="82" ht="12" customFormat="1" customHeight="1" s="42">
      <c r="A82" s="60" t="n"/>
      <c r="B82" s="61" t="inlineStr">
        <is>
          <t>....5</t>
        </is>
      </c>
      <c r="C82" s="61" t="inlineStr">
        <is>
          <t>0010</t>
        </is>
      </c>
      <c r="D82" s="60" t="n">
        <v>58960503</v>
      </c>
      <c r="L82" s="61" t="inlineStr">
        <is>
          <t>BRIDGE, REMOTE EXHAUST, MK3.5</t>
        </is>
      </c>
      <c r="M82" s="61" t="inlineStr">
        <is>
          <t>D 589605XX R  H</t>
        </is>
      </c>
      <c r="N82" s="60" t="n">
        <v>1</v>
      </c>
      <c r="O82" s="60" t="n"/>
      <c r="P82" s="60" t="inlineStr">
        <is>
          <t>EA</t>
        </is>
      </c>
      <c r="Q82" s="60" t="n">
        <v>4</v>
      </c>
      <c r="R82" s="60" t="inlineStr">
        <is>
          <t>KITM</t>
        </is>
      </c>
      <c r="S82" s="56" t="n"/>
      <c r="T82" s="12" t="n"/>
      <c r="U82" s="12" t="n"/>
      <c r="V82" s="12" t="n"/>
      <c r="W82" s="91">
        <f>IF(AND(LEN(D174)&gt;=6,OR(LEFT(D174,1)="4",LEFT(D174,1)="5"),K174="9DRWM"),"SDRWM","")</f>
        <v/>
      </c>
      <c r="X82" s="2" t="n"/>
      <c r="Y82" s="46" t="n"/>
      <c r="Z82" s="46" t="n"/>
      <c r="AA82" s="46" t="n"/>
      <c r="AB82" s="46" t="n"/>
      <c r="AC82" s="46" t="n"/>
    </row>
    <row r="83" ht="12" customFormat="1" customHeight="1" s="42">
      <c r="A83" s="60" t="n"/>
      <c r="B83" s="61" t="inlineStr">
        <is>
          <t>....5</t>
        </is>
      </c>
      <c r="C83" s="61" t="inlineStr">
        <is>
          <t>0020</t>
        </is>
      </c>
      <c r="D83" s="60" t="n">
        <v>589688</v>
      </c>
      <c r="L83" s="61" t="inlineStr">
        <is>
          <t>BRKT,LIGHT TOWER,TOP SHELL,MK3</t>
        </is>
      </c>
      <c r="M83" s="61" t="inlineStr">
        <is>
          <t>B 589688   R  E</t>
        </is>
      </c>
      <c r="N83" s="60" t="n">
        <v>1</v>
      </c>
      <c r="O83" s="60" t="n"/>
      <c r="P83" s="60" t="inlineStr">
        <is>
          <t>EA</t>
        </is>
      </c>
      <c r="Q83" s="60" t="n">
        <v>4</v>
      </c>
      <c r="R83" s="60" t="inlineStr">
        <is>
          <t>KITM</t>
        </is>
      </c>
      <c r="S83" s="56" t="n"/>
      <c r="T83" s="12" t="n"/>
      <c r="U83" s="12" t="n"/>
      <c r="V83" s="12" t="n"/>
      <c r="W83" s="91">
        <f>IF(AND(LEN(D175)&gt;=6,OR(LEFT(D175,1)="4",LEFT(D175,1)="5"),K175="9DRWM"),"SDRWM","")</f>
        <v/>
      </c>
      <c r="X83" s="2" t="n"/>
      <c r="Y83" s="46" t="n"/>
      <c r="Z83" s="46" t="n"/>
      <c r="AA83" s="46" t="n"/>
      <c r="AB83" s="46" t="n"/>
      <c r="AC83" s="46" t="n"/>
    </row>
    <row r="84" ht="12" customFormat="1" customHeight="1" s="42">
      <c r="A84" s="60" t="n"/>
      <c r="B84" s="61" t="inlineStr">
        <is>
          <t>....5</t>
        </is>
      </c>
      <c r="C84" s="61" t="inlineStr">
        <is>
          <t>0030</t>
        </is>
      </c>
      <c r="D84" s="60" t="n">
        <v>589689</v>
      </c>
      <c r="L84" s="61" t="inlineStr">
        <is>
          <t>COVER,LIGHT TOWR,TOP SHELL,MK3</t>
        </is>
      </c>
      <c r="M84" s="61" t="inlineStr">
        <is>
          <t>A  589689  R  B</t>
        </is>
      </c>
      <c r="N84" s="60" t="n">
        <v>1</v>
      </c>
      <c r="O84" s="60" t="n"/>
      <c r="P84" s="60" t="inlineStr">
        <is>
          <t>EA</t>
        </is>
      </c>
      <c r="Q84" s="60" t="n">
        <v>4</v>
      </c>
      <c r="R84" s="60" t="inlineStr">
        <is>
          <t>KITM</t>
        </is>
      </c>
      <c r="S84" s="56" t="n"/>
      <c r="T84" s="12" t="n"/>
      <c r="U84" s="12" t="n"/>
      <c r="V84" s="12" t="n"/>
      <c r="W84" s="91">
        <f>IF(AND(LEN(D176)&gt;=6,OR(LEFT(D176,1)="4",LEFT(D176,1)="5"),K176="9DRWM"),"SDRWM","")</f>
        <v/>
      </c>
      <c r="X84" s="2" t="n"/>
      <c r="Y84" s="46" t="n"/>
      <c r="Z84" s="46" t="n"/>
      <c r="AA84" s="46" t="n"/>
      <c r="AB84" s="46" t="n"/>
      <c r="AC84" s="46" t="n"/>
    </row>
    <row r="85" ht="12" customFormat="1" customHeight="1" s="42">
      <c r="A85" s="60" t="n"/>
      <c r="B85" s="61" t="inlineStr">
        <is>
          <t>.....6</t>
        </is>
      </c>
      <c r="C85" s="61" t="inlineStr">
        <is>
          <t>0040</t>
        </is>
      </c>
      <c r="D85" s="60" t="n">
        <v>589778</v>
      </c>
      <c r="E85" t="n">
        <v>6</v>
      </c>
      <c r="F85" t="n">
        <v>5</v>
      </c>
      <c r="G85" t="inlineStr">
        <is>
          <t>94441</t>
        </is>
      </c>
      <c r="H85" t="inlineStr">
        <is>
          <t>594441</t>
        </is>
      </c>
      <c r="I85" t="n">
        <v>594441</v>
      </c>
      <c r="J85" t="n">
        <v>594441</v>
      </c>
      <c r="K85" t="n">
        <v>594441</v>
      </c>
      <c r="L85" s="61" t="inlineStr">
        <is>
          <t>PROTECTOR PLATE,5.75"IMP,MK3.5</t>
        </is>
      </c>
      <c r="M85" s="61" t="inlineStr">
        <is>
          <t>A 589778   R  B</t>
        </is>
      </c>
      <c r="N85" s="60" t="n">
        <v>2</v>
      </c>
      <c r="O85" s="60" t="n"/>
      <c r="P85" s="60" t="inlineStr">
        <is>
          <t>EA</t>
        </is>
      </c>
      <c r="Q85" s="60" t="n">
        <v>4</v>
      </c>
      <c r="R85" s="60" t="inlineStr">
        <is>
          <t>KITM</t>
        </is>
      </c>
      <c r="S85" s="56" t="n"/>
      <c r="T85" s="12" t="n"/>
      <c r="U85" s="12" t="n"/>
      <c r="V85" s="12" t="n"/>
      <c r="W85" s="91">
        <f>IF(AND(LEN(D177)&gt;=6,OR(LEFT(D177,1)="4",LEFT(D177,1)="5"),K177="9DRWM"),"SDRWM","")</f>
        <v/>
      </c>
      <c r="X85" s="123" t="inlineStr">
        <is>
          <t>594441</t>
        </is>
      </c>
      <c r="Y85" s="122" t="n"/>
      <c r="Z85" s="122" t="n"/>
    </row>
    <row r="86" ht="12" customFormat="1" customHeight="1" s="42">
      <c r="A86" s="60" t="n"/>
      <c r="B86" s="61" t="inlineStr">
        <is>
          <t>....5</t>
        </is>
      </c>
      <c r="C86" s="61" t="inlineStr">
        <is>
          <t>0070</t>
        </is>
      </c>
      <c r="D86" s="60" t="n">
        <v>589870</v>
      </c>
      <c r="E86" t="n">
        <v>6</v>
      </c>
      <c r="F86" t="n">
        <v>5</v>
      </c>
      <c r="G86" t="inlineStr">
        <is>
          <t>94454</t>
        </is>
      </c>
      <c r="H86" t="inlineStr">
        <is>
          <t>594454</t>
        </is>
      </c>
      <c r="I86" t="n">
        <v>594454</v>
      </c>
      <c r="J86" t="n">
        <v>594454</v>
      </c>
      <c r="K86" t="n">
        <v>594454</v>
      </c>
      <c r="L86" s="61" t="inlineStr">
        <is>
          <t>KEYBOARD TRAY ASSY, MK3</t>
        </is>
      </c>
      <c r="M86" s="61" t="inlineStr">
        <is>
          <t>D  589870  **</t>
        </is>
      </c>
      <c r="N86" s="60" t="n">
        <v>1</v>
      </c>
      <c r="O86" s="60" t="n"/>
      <c r="P86" s="60" t="inlineStr">
        <is>
          <t>EA</t>
        </is>
      </c>
      <c r="Q86" s="60" t="n">
        <v>9</v>
      </c>
      <c r="R86" s="60" t="inlineStr">
        <is>
          <t>9DRWM</t>
        </is>
      </c>
      <c r="S86" s="56" t="n"/>
      <c r="T86" s="12" t="n"/>
      <c r="U86" s="12" t="n"/>
      <c r="V86" s="12" t="n"/>
      <c r="W86" s="91">
        <f>IF(AND(LEN(D178)&gt;=6,OR(LEFT(D178,1)="4",LEFT(D178,1)="5"),K178="9DRWM"),"SDRWM","")</f>
        <v/>
      </c>
      <c r="X86" s="123" t="n"/>
      <c r="Y86" s="122" t="n"/>
      <c r="Z86" s="122" t="n"/>
    </row>
    <row r="87" ht="12" customFormat="1" customHeight="1" s="42">
      <c r="A87" s="60" t="n"/>
      <c r="B87" s="61" t="inlineStr">
        <is>
          <t>.....6</t>
        </is>
      </c>
      <c r="C87" s="61" t="inlineStr">
        <is>
          <t>0010</t>
        </is>
      </c>
      <c r="D87" s="60" t="n">
        <v>589871</v>
      </c>
      <c r="E87" t="n">
        <v>8</v>
      </c>
      <c r="F87" t="n">
        <v>5</v>
      </c>
      <c r="G87" t="inlineStr">
        <is>
          <t>9448002</t>
        </is>
      </c>
      <c r="H87" t="inlineStr">
        <is>
          <t>59448002</t>
        </is>
      </c>
      <c r="I87" t="n">
        <v>59448002</v>
      </c>
      <c r="J87" t="n">
        <v>59448002</v>
      </c>
      <c r="K87" t="n">
        <v>594480</v>
      </c>
      <c r="L87" s="61" t="inlineStr">
        <is>
          <t>KEYBOARD MOUNT, MK3</t>
        </is>
      </c>
      <c r="M87" s="61" t="inlineStr">
        <is>
          <t>C 589871   R  B</t>
        </is>
      </c>
      <c r="N87" s="60" t="n">
        <v>1</v>
      </c>
      <c r="O87" s="60" t="n"/>
      <c r="P87" s="60" t="inlineStr">
        <is>
          <t>EA</t>
        </is>
      </c>
      <c r="Q87" s="60" t="n">
        <v>4</v>
      </c>
      <c r="R87" s="60" t="inlineStr">
        <is>
          <t>KITM</t>
        </is>
      </c>
      <c r="S87" s="56" t="n"/>
      <c r="T87" s="12" t="n"/>
      <c r="U87" s="12" t="n"/>
      <c r="V87" s="12" t="n"/>
      <c r="W87" s="91">
        <f>IF(AND(LEN(D179)&gt;=6,OR(LEFT(D179,1)="4",LEFT(D179,1)="5"),K179="9DRWM"),"SDRWM","")</f>
        <v/>
      </c>
      <c r="X87" s="123" t="inlineStr">
        <is>
          <t>59448002</t>
        </is>
      </c>
      <c r="Y87" s="122" t="n"/>
      <c r="Z87" s="122" t="n"/>
    </row>
    <row r="88" ht="12" customFormat="1" customHeight="1" s="42">
      <c r="A88" s="60" t="n"/>
      <c r="B88" s="61" t="inlineStr">
        <is>
          <t>.....6</t>
        </is>
      </c>
      <c r="C88" s="61" t="inlineStr">
        <is>
          <t>0030</t>
        </is>
      </c>
      <c r="D88" s="60" t="n">
        <v>589872</v>
      </c>
      <c r="E88" t="n">
        <v>8</v>
      </c>
      <c r="F88" t="n">
        <v>5</v>
      </c>
      <c r="G88" t="inlineStr">
        <is>
          <t>9448001</t>
        </is>
      </c>
      <c r="H88" t="inlineStr">
        <is>
          <t>59448001</t>
        </is>
      </c>
      <c r="I88" t="n">
        <v>59448001</v>
      </c>
      <c r="J88" t="n">
        <v>59448001</v>
      </c>
      <c r="K88" t="n">
        <v>594480</v>
      </c>
      <c r="L88" s="61" t="inlineStr">
        <is>
          <t>KEYBOARD TRAY, MK3</t>
        </is>
      </c>
      <c r="M88" s="61" t="inlineStr">
        <is>
          <t>C  589872  R  A</t>
        </is>
      </c>
      <c r="N88" s="60" t="n">
        <v>1</v>
      </c>
      <c r="O88" s="60" t="n"/>
      <c r="P88" s="60" t="inlineStr">
        <is>
          <t>EA</t>
        </is>
      </c>
      <c r="Q88" s="60" t="n">
        <v>4</v>
      </c>
      <c r="R88" s="60" t="inlineStr">
        <is>
          <t>KITM</t>
        </is>
      </c>
      <c r="S88" s="56" t="n"/>
      <c r="T88" s="12" t="n"/>
      <c r="U88" s="12" t="n"/>
      <c r="V88" s="12" t="n"/>
      <c r="W88" s="91">
        <f>IF(AND(LEN(D180)&gt;=6,OR(LEFT(D180,1)="4",LEFT(D180,1)="5"),K180="9DRWM"),"SDRWM","")</f>
        <v/>
      </c>
      <c r="X88" s="123" t="inlineStr">
        <is>
          <t>59448001</t>
        </is>
      </c>
      <c r="Y88" s="122" t="n"/>
      <c r="Z88" s="122" t="n"/>
    </row>
    <row r="89" ht="12" customFormat="1" customHeight="1" s="42">
      <c r="A89" s="60" t="n"/>
      <c r="B89" s="61" t="inlineStr">
        <is>
          <t>.....6</t>
        </is>
      </c>
      <c r="C89" s="61" t="inlineStr">
        <is>
          <t>0020</t>
        </is>
      </c>
      <c r="D89" s="60" t="n">
        <v>589873</v>
      </c>
      <c r="E89" t="n">
        <v>8</v>
      </c>
      <c r="F89" t="n">
        <v>5</v>
      </c>
      <c r="G89" t="inlineStr">
        <is>
          <t>9448002</t>
        </is>
      </c>
      <c r="H89" t="inlineStr">
        <is>
          <t>59448002</t>
        </is>
      </c>
      <c r="I89" t="n">
        <v>59448002</v>
      </c>
      <c r="J89" t="n">
        <v>59448002</v>
      </c>
      <c r="K89" t="n">
        <v>594480</v>
      </c>
      <c r="L89" s="61" t="inlineStr">
        <is>
          <t>KEYBOARD DECO TRIM, MK3</t>
        </is>
      </c>
      <c r="M89" s="61" t="inlineStr">
        <is>
          <t>A 589873   R  B</t>
        </is>
      </c>
      <c r="N89" s="60" t="n">
        <v>1</v>
      </c>
      <c r="O89" s="60" t="n"/>
      <c r="P89" s="60" t="inlineStr">
        <is>
          <t>EA</t>
        </is>
      </c>
      <c r="Q89" s="60" t="n">
        <v>4</v>
      </c>
      <c r="R89" s="60" t="inlineStr">
        <is>
          <t>KITM</t>
        </is>
      </c>
      <c r="S89" s="56" t="n"/>
      <c r="T89" s="12" t="n"/>
      <c r="U89" s="12" t="n"/>
      <c r="V89" s="12" t="n"/>
      <c r="W89" s="91">
        <f>IF(AND(LEN(D181)&gt;=6,OR(LEFT(D181,1)="4",LEFT(D181,1)="5"),K181="9DRWM"),"SDRWM","")</f>
        <v/>
      </c>
      <c r="X89" s="123" t="inlineStr">
        <is>
          <t>59448002</t>
        </is>
      </c>
      <c r="Y89" s="122" t="n"/>
      <c r="Z89" s="122" t="n"/>
    </row>
    <row r="90" ht="12" customFormat="1" customHeight="1" s="42">
      <c r="A90" s="60" t="n"/>
      <c r="B90" s="61" t="inlineStr">
        <is>
          <t>....5</t>
        </is>
      </c>
      <c r="C90" s="61" t="inlineStr">
        <is>
          <t>0050</t>
        </is>
      </c>
      <c r="D90" s="60" t="n">
        <v>58995401</v>
      </c>
      <c r="L90" s="61" t="inlineStr">
        <is>
          <t>3" SANIT FLG, STRAIGHT, NO EXT</t>
        </is>
      </c>
      <c r="M90" s="61" t="inlineStr">
        <is>
          <t>D 589954XX R  F</t>
        </is>
      </c>
      <c r="N90" s="60" t="n">
        <v>2</v>
      </c>
      <c r="O90" s="60" t="n"/>
      <c r="P90" s="60" t="inlineStr">
        <is>
          <t>EA</t>
        </is>
      </c>
      <c r="Q90" s="60" t="n">
        <v>4</v>
      </c>
      <c r="R90" s="60" t="inlineStr">
        <is>
          <t>KITM</t>
        </is>
      </c>
      <c r="S90" s="56" t="n"/>
      <c r="T90" s="12" t="n"/>
      <c r="U90" s="12" t="n"/>
      <c r="V90" s="12" t="n"/>
      <c r="W90" s="91">
        <f>IF(AND(LEN(D182)&gt;=6,OR(LEFT(D182,1)="4",LEFT(D182,1)="5"),K182="9DRWM"),"SDRWM","")</f>
        <v/>
      </c>
      <c r="X90" s="2" t="n"/>
    </row>
    <row r="91" hidden="1" ht="12" customFormat="1" customHeight="1" s="46">
      <c r="A91" s="60" t="n"/>
      <c r="B91" s="61" t="inlineStr">
        <is>
          <t>...4</t>
        </is>
      </c>
      <c r="C91" s="61" t="inlineStr">
        <is>
          <t>0120</t>
        </is>
      </c>
      <c r="D91" s="60" t="n">
        <v>59848701</v>
      </c>
      <c r="E91" t="n">
        <v>8</v>
      </c>
      <c r="F91" t="n">
        <v>5</v>
      </c>
      <c r="G91" t="inlineStr">
        <is>
          <t>9448001</t>
        </is>
      </c>
      <c r="H91" t="inlineStr">
        <is>
          <t>59448001</t>
        </is>
      </c>
      <c r="I91" t="n">
        <v>59448001</v>
      </c>
      <c r="J91" t="n">
        <v>59448001</v>
      </c>
      <c r="K91" t="n">
        <v>594480</v>
      </c>
      <c r="L91" s="61" t="inlineStr">
        <is>
          <t>SIDE WALL SUPPORT WIDE</t>
        </is>
      </c>
      <c r="M91" s="61" t="inlineStr">
        <is>
          <t>C 598487XX R</t>
        </is>
      </c>
      <c r="N91" s="60" t="n">
        <v>4</v>
      </c>
      <c r="O91" s="60" t="n"/>
      <c r="P91" s="60" t="inlineStr">
        <is>
          <t>EA</t>
        </is>
      </c>
      <c r="Q91" s="60" t="n">
        <v>0</v>
      </c>
      <c r="R91" s="60" t="n"/>
      <c r="S91" s="56" t="n"/>
      <c r="T91" s="12" t="n"/>
      <c r="U91" s="12" t="n"/>
      <c r="V91" s="12" t="n"/>
      <c r="W91" s="91">
        <f>IF(AND(LEN(D183)&gt;=6,OR(LEFT(D183,1)="4",LEFT(D183,1)="5"),K183="9DRWM"),"SDRWM","")</f>
        <v/>
      </c>
      <c r="X91" s="123" t="inlineStr">
        <is>
          <t>59448001</t>
        </is>
      </c>
      <c r="Y91" s="122" t="n"/>
      <c r="Z91" s="122" t="n"/>
    </row>
    <row r="92" ht="12" customFormat="1" customHeight="1" s="46">
      <c r="A92" s="60" t="n"/>
      <c r="B92" s="61" t="inlineStr">
        <is>
          <t>....5</t>
        </is>
      </c>
      <c r="C92" s="61" t="inlineStr">
        <is>
          <t>0060</t>
        </is>
      </c>
      <c r="D92" s="60" t="n">
        <v>58995402</v>
      </c>
      <c r="E92" t="n">
        <v>8</v>
      </c>
      <c r="F92" t="n">
        <v>5</v>
      </c>
      <c r="G92" t="inlineStr">
        <is>
          <t>9451201</t>
        </is>
      </c>
      <c r="H92" t="inlineStr">
        <is>
          <t>59451201</t>
        </is>
      </c>
      <c r="I92" t="n">
        <v>59451201</v>
      </c>
      <c r="J92" t="n">
        <v>59451201</v>
      </c>
      <c r="K92" t="n">
        <v>594512</v>
      </c>
      <c r="L92" s="61" t="inlineStr">
        <is>
          <t>3" SANIT FLG, STRAIGHT, W/ EXT</t>
        </is>
      </c>
      <c r="M92" s="61" t="inlineStr">
        <is>
          <t>D 589954XX R  F</t>
        </is>
      </c>
      <c r="N92" s="60" t="n">
        <v>2</v>
      </c>
      <c r="O92" s="60" t="n"/>
      <c r="P92" s="60" t="inlineStr">
        <is>
          <t>EA</t>
        </is>
      </c>
      <c r="Q92" s="60" t="n">
        <v>4</v>
      </c>
      <c r="R92" s="60" t="inlineStr">
        <is>
          <t>KITM</t>
        </is>
      </c>
      <c r="S92" s="56" t="n"/>
      <c r="T92" s="12" t="n"/>
      <c r="U92" s="12" t="n"/>
      <c r="V92" s="12" t="n"/>
      <c r="W92" s="91">
        <f>IF(AND(LEN(D184)&gt;=6,OR(LEFT(D184,1)="4",LEFT(D184,1)="5"),K184="9DRWM"),"SDRWM","")</f>
        <v/>
      </c>
      <c r="X92" s="123" t="n"/>
      <c r="Y92" s="122" t="n"/>
      <c r="Z92" s="122" t="n"/>
    </row>
    <row r="93" ht="12" customFormat="1" customHeight="1" s="46">
      <c r="A93" s="60" t="n"/>
      <c r="B93" s="61" t="inlineStr">
        <is>
          <t>...4</t>
        </is>
      </c>
      <c r="C93" s="61" t="inlineStr">
        <is>
          <t>0020</t>
        </is>
      </c>
      <c r="D93" s="60" t="n">
        <v>589989</v>
      </c>
      <c r="E93" t="n">
        <v>8</v>
      </c>
      <c r="F93" t="n">
        <v>5</v>
      </c>
      <c r="G93" t="inlineStr">
        <is>
          <t>9451201</t>
        </is>
      </c>
      <c r="H93" t="inlineStr">
        <is>
          <t>59451201</t>
        </is>
      </c>
      <c r="I93" t="n">
        <v>59451201</v>
      </c>
      <c r="J93" t="n">
        <v>59451201</v>
      </c>
      <c r="K93" t="n">
        <v>594512</v>
      </c>
      <c r="L93" s="61" t="inlineStr">
        <is>
          <t>MTG BRKT,  4 INTO 1,  MK3.5</t>
        </is>
      </c>
      <c r="M93" s="61" t="inlineStr">
        <is>
          <t>B 589989   R  C</t>
        </is>
      </c>
      <c r="N93" s="60" t="n">
        <v>2</v>
      </c>
      <c r="O93" s="60" t="n"/>
      <c r="P93" s="60" t="inlineStr">
        <is>
          <t>EA</t>
        </is>
      </c>
      <c r="Q93" s="60" t="n">
        <v>4</v>
      </c>
      <c r="R93" s="60" t="inlineStr">
        <is>
          <t>KITM</t>
        </is>
      </c>
      <c r="S93" s="56" t="n"/>
      <c r="T93" s="12" t="n"/>
      <c r="U93" s="12" t="n"/>
      <c r="V93" s="12" t="n"/>
      <c r="W93" s="91">
        <f>IF(AND(LEN(D185)&gt;=6,OR(LEFT(D185,1)="4",LEFT(D185,1)="5"),K185="9DRWM"),"SDRWM","")</f>
        <v/>
      </c>
      <c r="X93" s="123" t="n"/>
      <c r="Y93" s="122" t="n"/>
      <c r="Z93" s="122" t="n"/>
    </row>
    <row r="94" ht="12" customFormat="1" customHeight="1" s="46">
      <c r="A94" s="60" t="n"/>
      <c r="B94" s="61" t="inlineStr">
        <is>
          <t>....5</t>
        </is>
      </c>
      <c r="C94" s="61" t="inlineStr">
        <is>
          <t>0010</t>
        </is>
      </c>
      <c r="D94" s="60" t="n">
        <v>589991</v>
      </c>
      <c r="L94" s="61" t="inlineStr">
        <is>
          <t>CARB, INLET, MK3.5</t>
        </is>
      </c>
      <c r="M94" s="61" t="inlineStr">
        <is>
          <t>B  589991  R  C</t>
        </is>
      </c>
      <c r="N94" s="60" t="n">
        <v>3</v>
      </c>
      <c r="O94" s="60" t="n"/>
      <c r="P94" s="60" t="inlineStr">
        <is>
          <t>EA</t>
        </is>
      </c>
      <c r="Q94" s="60" t="n">
        <v>4</v>
      </c>
      <c r="R94" s="60" t="inlineStr">
        <is>
          <t>KITM</t>
        </is>
      </c>
      <c r="S94" s="56" t="n"/>
      <c r="T94" s="12" t="n"/>
      <c r="U94" s="12" t="n"/>
      <c r="V94" s="12" t="n"/>
      <c r="W94" s="91">
        <f>IF(AND(LEN(D186)&gt;=6,OR(LEFT(D186,1)="4",LEFT(D186,1)="5"),K186="9DRWM"),"SDRWM","")</f>
        <v/>
      </c>
      <c r="X94" s="2" t="n"/>
    </row>
    <row r="95" ht="12" customFormat="1" customHeight="1" s="46">
      <c r="A95" s="60" t="n"/>
      <c r="B95" s="61" t="inlineStr">
        <is>
          <t>....5</t>
        </is>
      </c>
      <c r="C95" s="61" t="inlineStr">
        <is>
          <t>0010</t>
        </is>
      </c>
      <c r="D95" s="60" t="n">
        <v>589991</v>
      </c>
      <c r="L95" s="61" t="inlineStr">
        <is>
          <t>CARB, INLET, MK3.5</t>
        </is>
      </c>
      <c r="M95" s="61" t="inlineStr">
        <is>
          <t>B  589991  R  C</t>
        </is>
      </c>
      <c r="N95" s="60" t="n">
        <v>2</v>
      </c>
      <c r="O95" s="60" t="n"/>
      <c r="P95" s="60" t="inlineStr">
        <is>
          <t>EA</t>
        </is>
      </c>
      <c r="Q95" s="60" t="n">
        <v>4</v>
      </c>
      <c r="R95" s="60" t="inlineStr">
        <is>
          <t>KITM</t>
        </is>
      </c>
      <c r="S95" s="56" t="n"/>
      <c r="T95" s="12" t="n"/>
      <c r="U95" s="12" t="n"/>
      <c r="V95" s="12" t="n"/>
      <c r="W95" s="91">
        <f>IF(AND(LEN(D187)&gt;=6,OR(LEFT(D187,1)="4",LEFT(D187,1)="5"),K187="9DRWM"),"SDRWM","")</f>
        <v/>
      </c>
      <c r="X95" s="2" t="n"/>
    </row>
    <row r="96" ht="12" customFormat="1" customHeight="1" s="46">
      <c r="A96" s="60" t="n"/>
      <c r="B96" s="61" t="inlineStr">
        <is>
          <t>...4</t>
        </is>
      </c>
      <c r="C96" s="61" t="inlineStr">
        <is>
          <t>0190</t>
        </is>
      </c>
      <c r="D96" s="60" t="n">
        <v>589992</v>
      </c>
      <c r="L96" s="61" t="inlineStr">
        <is>
          <t>CARB ASSY, MK3.5</t>
        </is>
      </c>
      <c r="M96" s="61" t="inlineStr">
        <is>
          <t>B  589992  **</t>
        </is>
      </c>
      <c r="N96" s="60" t="n">
        <v>3</v>
      </c>
      <c r="O96" s="60" t="n"/>
      <c r="P96" s="60" t="inlineStr">
        <is>
          <t>EA</t>
        </is>
      </c>
      <c r="Q96" s="60" t="n">
        <v>9</v>
      </c>
      <c r="R96" s="60" t="inlineStr">
        <is>
          <t>KITM</t>
        </is>
      </c>
      <c r="S96" s="56" t="n"/>
      <c r="T96" s="12" t="n"/>
      <c r="U96" s="12" t="n"/>
      <c r="V96" s="12" t="n"/>
      <c r="W96" s="91">
        <f>IF(AND(LEN(D188)&gt;=6,OR(LEFT(D188,1)="4",LEFT(D188,1)="5"),K188="9DRWM"),"SDRWM","")</f>
        <v/>
      </c>
      <c r="X96" s="2" t="n"/>
    </row>
    <row r="97" ht="12" customFormat="1" customHeight="1" s="46">
      <c r="A97" s="60" t="n"/>
      <c r="B97" s="61" t="inlineStr">
        <is>
          <t>...4</t>
        </is>
      </c>
      <c r="C97" s="61" t="inlineStr">
        <is>
          <t>0200</t>
        </is>
      </c>
      <c r="D97" s="60" t="n">
        <v>589992</v>
      </c>
      <c r="L97" s="61" t="inlineStr">
        <is>
          <t>CARB ASSY, MK3.5</t>
        </is>
      </c>
      <c r="M97" s="61" t="inlineStr">
        <is>
          <t>B  589992  **</t>
        </is>
      </c>
      <c r="N97" s="60" t="n">
        <v>2</v>
      </c>
      <c r="O97" s="60" t="n"/>
      <c r="P97" s="60" t="inlineStr">
        <is>
          <t>EA</t>
        </is>
      </c>
      <c r="Q97" s="60" t="n">
        <v>9</v>
      </c>
      <c r="R97" s="60" t="inlineStr">
        <is>
          <t>KITM</t>
        </is>
      </c>
      <c r="S97" s="56" t="n"/>
      <c r="T97" s="12" t="n"/>
      <c r="U97" s="12" t="n"/>
      <c r="V97" s="12" t="n"/>
      <c r="W97" s="91">
        <f>IF(AND(LEN(D189)&gt;=6,OR(LEFT(D189,1)="4",LEFT(D189,1)="5"),K189="9DRWM"),"SDRWM","")</f>
        <v/>
      </c>
      <c r="X97" s="2" t="n"/>
    </row>
    <row r="98" ht="12" customFormat="1" customHeight="1" s="46">
      <c r="A98" s="60" t="n"/>
      <c r="B98" s="61" t="inlineStr">
        <is>
          <t>...4</t>
        </is>
      </c>
      <c r="C98" s="61" t="inlineStr">
        <is>
          <t>0180</t>
        </is>
      </c>
      <c r="D98" s="60" t="n">
        <v>59001804</v>
      </c>
      <c r="E98" t="n">
        <v>8</v>
      </c>
      <c r="F98" t="n">
        <v>5</v>
      </c>
      <c r="G98" t="inlineStr">
        <is>
          <t>9451202</t>
        </is>
      </c>
      <c r="H98" t="inlineStr">
        <is>
          <t>59451202</t>
        </is>
      </c>
      <c r="I98" t="n">
        <v>59451202</v>
      </c>
      <c r="J98" t="n">
        <v>59451202</v>
      </c>
      <c r="K98" t="n">
        <v>594512</v>
      </c>
      <c r="L98" s="61" t="inlineStr">
        <is>
          <t>3''RTRN FLG,90DEG,SHORTER</t>
        </is>
      </c>
      <c r="M98" s="61" t="inlineStr">
        <is>
          <t>C 590018XX R  F</t>
        </is>
      </c>
      <c r="N98" s="60" t="n">
        <v>2</v>
      </c>
      <c r="O98" s="60" t="n"/>
      <c r="P98" s="60" t="inlineStr">
        <is>
          <t>EA</t>
        </is>
      </c>
      <c r="Q98" s="60" t="n">
        <v>4</v>
      </c>
      <c r="R98" s="60" t="inlineStr">
        <is>
          <t>KITM</t>
        </is>
      </c>
      <c r="S98" s="56" t="n"/>
      <c r="T98" s="12" t="n"/>
      <c r="U98" s="12" t="n"/>
      <c r="V98" s="12" t="n"/>
      <c r="W98" s="91">
        <f>IF(AND(LEN(D190)&gt;=6,OR(LEFT(D190,1)="4",LEFT(D190,1)="5"),K190="9DRWM"),"SDRWM","")</f>
        <v/>
      </c>
      <c r="X98" s="123" t="n"/>
      <c r="Y98" s="122" t="n"/>
      <c r="Z98" s="122" t="n"/>
    </row>
    <row r="99" ht="12" customFormat="1" customHeight="1" s="42">
      <c r="A99" s="60" t="n"/>
      <c r="B99" s="61" t="inlineStr">
        <is>
          <t>..3</t>
        </is>
      </c>
      <c r="C99" s="61" t="inlineStr">
        <is>
          <t>0080</t>
        </is>
      </c>
      <c r="D99" s="60" t="n">
        <v>590089</v>
      </c>
      <c r="E99" t="n">
        <v>8</v>
      </c>
      <c r="F99" t="n">
        <v>5</v>
      </c>
      <c r="G99" t="inlineStr">
        <is>
          <t>9451301</t>
        </is>
      </c>
      <c r="H99" t="inlineStr">
        <is>
          <t>59451301</t>
        </is>
      </c>
      <c r="I99" t="n">
        <v>59451301</v>
      </c>
      <c r="J99" t="n">
        <v>59451301</v>
      </c>
      <c r="K99" t="n">
        <v>594513</v>
      </c>
      <c r="L99" s="61" t="inlineStr">
        <is>
          <t>TUNNEL RETAINER CLIP, MK3.5</t>
        </is>
      </c>
      <c r="M99" s="61" t="inlineStr">
        <is>
          <t>A  590089  R</t>
        </is>
      </c>
      <c r="N99" s="60" t="n">
        <v>4</v>
      </c>
      <c r="O99" s="60" t="n"/>
      <c r="P99" s="60" t="inlineStr">
        <is>
          <t>EA</t>
        </is>
      </c>
      <c r="Q99" s="60" t="n">
        <v>4</v>
      </c>
      <c r="R99" s="60" t="inlineStr">
        <is>
          <t>KITM</t>
        </is>
      </c>
      <c r="S99" s="56" t="n"/>
      <c r="T99" s="12" t="n"/>
      <c r="U99" s="12" t="n"/>
      <c r="V99" s="12" t="n"/>
      <c r="W99" s="91">
        <f>IF(AND(LEN(D191)&gt;=6,OR(LEFT(D191,1)="4",LEFT(D191,1)="5"),K191="9DRWM"),"SDRWM","")</f>
        <v/>
      </c>
      <c r="X99" s="123" t="n"/>
      <c r="Y99" s="122" t="n"/>
      <c r="Z99" s="122" t="n"/>
    </row>
    <row r="100" ht="12" customFormat="1" customHeight="1" s="42">
      <c r="A100" s="60" t="n"/>
      <c r="B100" s="61" t="inlineStr">
        <is>
          <t>....5</t>
        </is>
      </c>
      <c r="C100" s="61" t="inlineStr">
        <is>
          <t>0010</t>
        </is>
      </c>
      <c r="D100" s="60" t="n">
        <v>590137</v>
      </c>
      <c r="E100" t="n">
        <v>8</v>
      </c>
      <c r="F100" t="n">
        <v>5</v>
      </c>
      <c r="G100" t="inlineStr">
        <is>
          <t>9507801</t>
        </is>
      </c>
      <c r="H100" t="inlineStr">
        <is>
          <t>59507801</t>
        </is>
      </c>
      <c r="I100" t="n">
        <v>59507801</v>
      </c>
      <c r="J100" t="n">
        <v>59507801</v>
      </c>
      <c r="K100" t="n">
        <v>595078</v>
      </c>
      <c r="L100" s="61" t="inlineStr">
        <is>
          <t>INNER BOX, REMOTE EXH, MK3.5</t>
        </is>
      </c>
      <c r="M100" s="61" t="inlineStr">
        <is>
          <t>C 590137   R  D</t>
        </is>
      </c>
      <c r="N100" s="60" t="n">
        <v>2</v>
      </c>
      <c r="O100" s="60" t="n"/>
      <c r="P100" s="60" t="inlineStr">
        <is>
          <t>EA</t>
        </is>
      </c>
      <c r="Q100" s="60" t="n">
        <v>4</v>
      </c>
      <c r="R100" s="60" t="inlineStr">
        <is>
          <t>KITM</t>
        </is>
      </c>
      <c r="S100" s="56" t="n"/>
      <c r="T100" s="12" t="n"/>
      <c r="U100" s="12" t="n"/>
      <c r="V100" s="12" t="n"/>
      <c r="W100" s="91">
        <f>IF(AND(LEN(D192)&gt;=6,OR(LEFT(D192,1)="4",LEFT(D192,1)="5"),K192="9DRWM"),"SDRWM","")</f>
        <v/>
      </c>
      <c r="X100" s="123" t="n"/>
      <c r="Y100" s="122" t="n"/>
      <c r="Z100" s="122" t="n"/>
    </row>
    <row r="101" ht="12" customFormat="1" customHeight="1" s="42">
      <c r="A101" s="60" t="n"/>
      <c r="B101" s="61" t="inlineStr">
        <is>
          <t>....5</t>
        </is>
      </c>
      <c r="C101" s="61" t="inlineStr">
        <is>
          <t>0020</t>
        </is>
      </c>
      <c r="D101" s="60" t="n">
        <v>590138</v>
      </c>
      <c r="E101" t="n">
        <v>8</v>
      </c>
      <c r="F101" t="n">
        <v>5</v>
      </c>
      <c r="G101" t="inlineStr">
        <is>
          <t>9507802</t>
        </is>
      </c>
      <c r="H101" t="inlineStr">
        <is>
          <t>59507802</t>
        </is>
      </c>
      <c r="I101" t="n">
        <v>59507802</v>
      </c>
      <c r="J101" t="n">
        <v>59507802</v>
      </c>
      <c r="K101" t="n">
        <v>595078</v>
      </c>
      <c r="L101" s="61" t="inlineStr">
        <is>
          <t>OUTER BOX, REMOTE EXH, MK3.5</t>
        </is>
      </c>
      <c r="M101" s="61" t="inlineStr">
        <is>
          <t>B 590138   R  F</t>
        </is>
      </c>
      <c r="N101" s="60" t="n">
        <v>2</v>
      </c>
      <c r="O101" s="60" t="n"/>
      <c r="P101" s="60" t="inlineStr">
        <is>
          <t>EA</t>
        </is>
      </c>
      <c r="Q101" s="60" t="n">
        <v>4</v>
      </c>
      <c r="R101" s="60" t="inlineStr">
        <is>
          <t>KITM</t>
        </is>
      </c>
      <c r="S101" s="56" t="n"/>
      <c r="T101" s="12" t="n"/>
      <c r="U101" s="12" t="n"/>
      <c r="V101" s="12" t="n"/>
      <c r="W101" s="91">
        <f>IF(AND(LEN(D193)&gt;=6,OR(LEFT(D193,1)="4",LEFT(D193,1)="5"),K193="9DRWM"),"SDRWM","")</f>
        <v/>
      </c>
      <c r="X101" s="123" t="n"/>
      <c r="Y101" s="122" t="n"/>
      <c r="Z101" s="122" t="n"/>
    </row>
    <row r="102" ht="12" customFormat="1" customHeight="1" s="42">
      <c r="A102" s="60" t="n"/>
      <c r="B102" s="61" t="inlineStr">
        <is>
          <t>...4</t>
        </is>
      </c>
      <c r="C102" s="61" t="inlineStr">
        <is>
          <t>0200</t>
        </is>
      </c>
      <c r="D102" s="60" t="n">
        <v>590278</v>
      </c>
      <c r="L102" s="61" t="inlineStr">
        <is>
          <t>COVER, MOD RETURN HOLE, MK3.5</t>
        </is>
      </c>
      <c r="M102" s="61" t="inlineStr">
        <is>
          <t>A  590278  **</t>
        </is>
      </c>
      <c r="N102" s="60" t="n">
        <v>3</v>
      </c>
      <c r="O102" s="60" t="n"/>
      <c r="P102" s="60" t="inlineStr">
        <is>
          <t>EA</t>
        </is>
      </c>
      <c r="Q102" s="60" t="n">
        <v>4</v>
      </c>
      <c r="R102" s="60" t="inlineStr">
        <is>
          <t>KITM</t>
        </is>
      </c>
      <c r="S102" s="56" t="n"/>
      <c r="T102" s="12" t="n"/>
      <c r="U102" s="12" t="n"/>
      <c r="V102" s="12" t="n"/>
      <c r="W102" s="91">
        <f>IF(AND(LEN(D194)&gt;=6,OR(LEFT(D194,1)="4",LEFT(D194,1)="5"),K194="9DRWM"),"SDRWM","")</f>
        <v/>
      </c>
      <c r="X102" s="2" t="n"/>
    </row>
    <row r="103" ht="12" customFormat="1" customHeight="1" s="42">
      <c r="A103" s="60" t="n"/>
      <c r="B103" s="61" t="inlineStr">
        <is>
          <t>...4</t>
        </is>
      </c>
      <c r="C103" s="61" t="inlineStr">
        <is>
          <t>0205</t>
        </is>
      </c>
      <c r="D103" s="60" t="n">
        <v>590278</v>
      </c>
      <c r="L103" s="61" t="inlineStr">
        <is>
          <t>COVER, MOD RETURN HOLE, MK3.5</t>
        </is>
      </c>
      <c r="M103" s="61" t="inlineStr">
        <is>
          <t>A  590278  **</t>
        </is>
      </c>
      <c r="N103" s="60" t="n">
        <v>2</v>
      </c>
      <c r="O103" s="60" t="n"/>
      <c r="P103" s="60" t="inlineStr">
        <is>
          <t>EA</t>
        </is>
      </c>
      <c r="Q103" s="60" t="n">
        <v>4</v>
      </c>
      <c r="R103" s="60" t="inlineStr">
        <is>
          <t>KITM</t>
        </is>
      </c>
      <c r="S103" s="56" t="n"/>
      <c r="T103" s="12" t="n"/>
      <c r="U103" s="12" t="n"/>
      <c r="V103" s="12" t="n"/>
      <c r="W103" s="91">
        <f>IF(AND(LEN(D195)&gt;=6,OR(LEFT(D195,1)="4",LEFT(D195,1)="5"),K195="9DRWM"),"SDRWM","")</f>
        <v/>
      </c>
      <c r="X103" s="2" t="n"/>
    </row>
    <row r="104" ht="12" customFormat="1" customHeight="1" s="42">
      <c r="A104" s="60" t="n"/>
      <c r="B104" s="61" t="inlineStr">
        <is>
          <t>.2</t>
        </is>
      </c>
      <c r="C104" s="61" t="inlineStr">
        <is>
          <t>0185</t>
        </is>
      </c>
      <c r="D104" s="60" t="n">
        <v>59123401</v>
      </c>
      <c r="E104" t="n">
        <v>8</v>
      </c>
      <c r="F104" t="n">
        <v>5</v>
      </c>
      <c r="G104" t="inlineStr">
        <is>
          <t>9507801</t>
        </is>
      </c>
      <c r="H104" t="inlineStr">
        <is>
          <t>59507801</t>
        </is>
      </c>
      <c r="I104" t="n">
        <v>59507801</v>
      </c>
      <c r="J104" t="n">
        <v>59507801</v>
      </c>
      <c r="K104" t="n">
        <v>595078</v>
      </c>
      <c r="L104" s="61" t="inlineStr">
        <is>
          <t>STANDARD OVEN WARRANTY, 3YR</t>
        </is>
      </c>
      <c r="M104" s="61" t="inlineStr">
        <is>
          <t>A 59123401 R  J</t>
        </is>
      </c>
      <c r="N104" s="60" t="n">
        <v>1</v>
      </c>
      <c r="O104" s="60" t="n"/>
      <c r="P104" s="60" t="inlineStr">
        <is>
          <t>RF</t>
        </is>
      </c>
      <c r="Q104" s="60" t="n">
        <v>9</v>
      </c>
      <c r="R104" s="60" t="inlineStr">
        <is>
          <t>9DRWM</t>
        </is>
      </c>
      <c r="S104" s="56" t="n"/>
      <c r="T104" s="12" t="n"/>
      <c r="U104" s="12" t="n"/>
      <c r="V104" s="12" t="n"/>
      <c r="W104" s="91">
        <f>IF(AND(LEN(D196)&gt;=6,OR(LEFT(D196,1)="4",LEFT(D196,1)="5"),K196="9DRWM"),"SDRWM","")</f>
        <v/>
      </c>
      <c r="X104" s="123" t="n"/>
      <c r="Y104" s="122" t="n"/>
      <c r="Z104" s="122" t="n"/>
    </row>
    <row r="105" ht="12" customFormat="1" customHeight="1" s="42">
      <c r="A105" s="60" t="n"/>
      <c r="B105" s="61" t="inlineStr">
        <is>
          <t>.2</t>
        </is>
      </c>
      <c r="C105" s="61" t="inlineStr">
        <is>
          <t>0003</t>
        </is>
      </c>
      <c r="D105" s="60" t="n">
        <v>591595</v>
      </c>
      <c r="E105" t="n">
        <v>8</v>
      </c>
      <c r="F105" t="n">
        <v>5</v>
      </c>
      <c r="G105" t="inlineStr">
        <is>
          <t>9507802</t>
        </is>
      </c>
      <c r="H105" t="inlineStr">
        <is>
          <t>59507802</t>
        </is>
      </c>
      <c r="I105" t="n">
        <v>59507802</v>
      </c>
      <c r="J105" t="n">
        <v>59507802</v>
      </c>
      <c r="K105" t="n">
        <v>595078</v>
      </c>
      <c r="L105" s="61" t="inlineStr">
        <is>
          <t>LABEL PLACEMENT DIAGRAM, MK3V</t>
        </is>
      </c>
      <c r="M105" s="61" t="inlineStr">
        <is>
          <t>D 591595   R  E</t>
        </is>
      </c>
      <c r="N105" s="60" t="n">
        <v>0</v>
      </c>
      <c r="O105" s="60" t="n"/>
      <c r="P105" s="60" t="inlineStr">
        <is>
          <t>EA</t>
        </is>
      </c>
      <c r="Q105" s="60" t="n">
        <v>9</v>
      </c>
      <c r="R105" s="60" t="inlineStr">
        <is>
          <t>9DRWM</t>
        </is>
      </c>
      <c r="S105" s="56" t="n"/>
      <c r="T105" s="12" t="n"/>
      <c r="U105" s="12" t="n"/>
      <c r="V105" s="12" t="n"/>
      <c r="W105" s="91">
        <f>IF(AND(LEN(D197)&gt;=6,OR(LEFT(D197,1)="4",LEFT(D197,1)="5"),K197="9DRWM"),"SDRWM","")</f>
        <v/>
      </c>
      <c r="X105" s="123" t="n"/>
      <c r="Y105" s="122" t="n"/>
      <c r="Z105" s="122" t="n"/>
    </row>
    <row r="106" ht="12" customFormat="1" customHeight="1" s="42">
      <c r="A106" s="60" t="n"/>
      <c r="B106" s="61" t="inlineStr">
        <is>
          <t>...4</t>
        </is>
      </c>
      <c r="C106" s="61" t="inlineStr">
        <is>
          <t>0080</t>
        </is>
      </c>
      <c r="D106" s="60" t="n">
        <v>591763</v>
      </c>
      <c r="E106" t="n">
        <v>8</v>
      </c>
      <c r="F106" t="n">
        <v>5</v>
      </c>
      <c r="G106" t="inlineStr">
        <is>
          <t>9511002</t>
        </is>
      </c>
      <c r="H106" t="inlineStr">
        <is>
          <t>59511002</t>
        </is>
      </c>
      <c r="I106" t="n">
        <v>59511002</v>
      </c>
      <c r="J106" t="n">
        <v>59511002</v>
      </c>
      <c r="K106" t="n">
        <v>595110</v>
      </c>
      <c r="L106" s="61" t="inlineStr">
        <is>
          <t>BLOWER FLANGE</t>
        </is>
      </c>
      <c r="M106" s="61" t="inlineStr">
        <is>
          <t>B 591763   R  D</t>
        </is>
      </c>
      <c r="N106" s="60" t="n">
        <v>1</v>
      </c>
      <c r="O106" s="60" t="n"/>
      <c r="P106" s="60" t="inlineStr">
        <is>
          <t>EA</t>
        </is>
      </c>
      <c r="Q106" s="60" t="n">
        <v>4</v>
      </c>
      <c r="R106" s="60" t="inlineStr">
        <is>
          <t>KITM</t>
        </is>
      </c>
      <c r="S106" s="56" t="n"/>
      <c r="T106" s="12" t="n"/>
      <c r="U106" s="12" t="n"/>
      <c r="V106" s="12" t="n"/>
      <c r="W106" s="91">
        <f>IF(AND(LEN(D198)&gt;=6,OR(LEFT(D198,1)="4",LEFT(D198,1)="5"),K198="9DRWM"),"SDRWM","")</f>
        <v/>
      </c>
      <c r="X106" s="123" t="n"/>
      <c r="Y106" s="122" t="n"/>
      <c r="Z106" s="122" t="n"/>
    </row>
    <row r="107" hidden="1" ht="12" customFormat="1" customHeight="1" s="42">
      <c r="A107" s="60" t="n"/>
      <c r="B107" s="61" t="inlineStr">
        <is>
          <t>..3</t>
        </is>
      </c>
      <c r="C107" s="61" t="inlineStr">
        <is>
          <t>0090</t>
        </is>
      </c>
      <c r="D107" s="60" t="n">
        <v>595806</v>
      </c>
      <c r="E107" t="n">
        <v>6</v>
      </c>
      <c r="F107" t="n">
        <v>5</v>
      </c>
      <c r="G107" t="inlineStr">
        <is>
          <t>95500</t>
        </is>
      </c>
      <c r="H107" t="inlineStr">
        <is>
          <t>595500</t>
        </is>
      </c>
      <c r="I107" t="n">
        <v>595500</v>
      </c>
      <c r="J107" t="n">
        <v>595500</v>
      </c>
      <c r="K107" t="n">
        <v>595500</v>
      </c>
      <c r="L107" s="61" t="inlineStr">
        <is>
          <t>PIVOT BAR MIDDLE, 1PCS BASE</t>
        </is>
      </c>
      <c r="M107" s="61" t="inlineStr">
        <is>
          <t>A 595806   R</t>
        </is>
      </c>
      <c r="N107" s="60" t="n">
        <v>2</v>
      </c>
      <c r="O107" s="60" t="n"/>
      <c r="P107" s="60" t="inlineStr">
        <is>
          <t>EA</t>
        </is>
      </c>
      <c r="Q107" s="60" t="n">
        <v>4</v>
      </c>
      <c r="R107" s="60" t="inlineStr">
        <is>
          <t>KITMS</t>
        </is>
      </c>
      <c r="S107" s="56" t="n"/>
      <c r="T107" s="12" t="n"/>
      <c r="U107" s="12" t="n"/>
      <c r="V107" s="12" t="n"/>
      <c r="W107" s="91">
        <f>IF(AND(LEN(D199)&gt;=6,OR(LEFT(D199,1)="4",LEFT(D199,1)="5"),K199="9DRWM"),"SDRWM","")</f>
        <v/>
      </c>
      <c r="X107" s="123" t="inlineStr">
        <is>
          <t>595500</t>
        </is>
      </c>
      <c r="Y107" s="122" t="n"/>
      <c r="Z107" s="122" t="n"/>
    </row>
    <row r="108" ht="12" customFormat="1" customHeight="1" s="42">
      <c r="A108" s="60" t="n"/>
      <c r="B108" s="61" t="inlineStr">
        <is>
          <t>..3</t>
        </is>
      </c>
      <c r="C108" s="61" t="inlineStr">
        <is>
          <t>0050</t>
        </is>
      </c>
      <c r="D108" s="60" t="n">
        <v>591764</v>
      </c>
      <c r="L108" s="61" t="inlineStr">
        <is>
          <t>INLET SNORKET  FLANGE, 100MM</t>
        </is>
      </c>
      <c r="M108" s="61" t="inlineStr">
        <is>
          <t>B  591764  R</t>
        </is>
      </c>
      <c r="N108" s="60" t="n">
        <v>1</v>
      </c>
      <c r="O108" s="60" t="n"/>
      <c r="P108" s="60" t="inlineStr">
        <is>
          <t>EA</t>
        </is>
      </c>
      <c r="Q108" s="60" t="n">
        <v>4</v>
      </c>
      <c r="R108" s="60" t="inlineStr">
        <is>
          <t>KITM</t>
        </is>
      </c>
      <c r="S108" s="56" t="n"/>
      <c r="T108" s="12" t="n"/>
      <c r="U108" s="12" t="n"/>
      <c r="V108" s="12" t="n"/>
      <c r="W108" s="91">
        <f>IF(AND(LEN(D200)&gt;=6,OR(LEFT(D200,1)="4",LEFT(D200,1)="5"),K200="9DRWM"),"SDRWM","")</f>
        <v/>
      </c>
      <c r="X108" s="2" t="n"/>
    </row>
    <row r="109" ht="12" customFormat="1" customHeight="1" s="42">
      <c r="A109" s="60" t="n"/>
      <c r="B109" s="61" t="inlineStr">
        <is>
          <t>.2</t>
        </is>
      </c>
      <c r="C109" s="61" t="inlineStr">
        <is>
          <t>0120</t>
        </is>
      </c>
      <c r="D109" s="60" t="n">
        <v>591833</v>
      </c>
      <c r="L109" s="61" t="inlineStr">
        <is>
          <t>HARNESS HANGER</t>
        </is>
      </c>
      <c r="M109" s="61" t="inlineStr">
        <is>
          <t>B  591833  R  A</t>
        </is>
      </c>
      <c r="N109" s="60" t="n">
        <v>2</v>
      </c>
      <c r="O109" s="60" t="n"/>
      <c r="P109" s="60" t="inlineStr">
        <is>
          <t>EA</t>
        </is>
      </c>
      <c r="Q109" s="60" t="n">
        <v>4</v>
      </c>
      <c r="R109" s="60" t="inlineStr">
        <is>
          <t>KITM</t>
        </is>
      </c>
      <c r="S109" s="56" t="n"/>
      <c r="T109" s="12" t="n"/>
      <c r="U109" s="12" t="n"/>
      <c r="V109" s="12" t="n"/>
      <c r="W109" s="91">
        <f>IF(AND(LEN(D201)&gt;=6,OR(LEFT(D201,1)="4",LEFT(D201,1)="5"),K201="9DRWM"),"SDRWM","")</f>
        <v/>
      </c>
      <c r="X109" s="2" t="n"/>
    </row>
    <row r="110" ht="12" customFormat="1" customHeight="1" s="42">
      <c r="A110" s="60" t="n"/>
      <c r="B110" s="61" t="inlineStr">
        <is>
          <t>...4</t>
        </is>
      </c>
      <c r="C110" s="61" t="inlineStr">
        <is>
          <t>0135</t>
        </is>
      </c>
      <c r="D110" s="60" t="n">
        <v>591834</v>
      </c>
      <c r="L110" s="61" t="inlineStr">
        <is>
          <t>BAFFLE, COOLING BLOWER INTAKE</t>
        </is>
      </c>
      <c r="M110" s="61" t="inlineStr">
        <is>
          <t>A 591834   R  A</t>
        </is>
      </c>
      <c r="N110" s="60" t="n">
        <v>1</v>
      </c>
      <c r="O110" s="60" t="n"/>
      <c r="P110" s="60" t="inlineStr">
        <is>
          <t>EA</t>
        </is>
      </c>
      <c r="Q110" s="60" t="n">
        <v>4</v>
      </c>
      <c r="R110" s="60" t="inlineStr">
        <is>
          <t>KITM</t>
        </is>
      </c>
      <c r="S110" s="56" t="n"/>
      <c r="T110" s="12" t="n"/>
      <c r="U110" s="12" t="n"/>
      <c r="V110" s="12" t="n"/>
      <c r="W110" s="91">
        <f>IF(AND(LEN(D204)&gt;=6,OR(LEFT(D204,1)="4",LEFT(D204,1)="5"),K204="9DRWM"),"SDRWM","")</f>
        <v/>
      </c>
      <c r="X110" s="2" t="n"/>
    </row>
    <row r="111" ht="12" customFormat="1" customHeight="1" s="42">
      <c r="A111" s="60" t="n"/>
      <c r="B111" s="61" t="inlineStr">
        <is>
          <t>...4</t>
        </is>
      </c>
      <c r="C111" s="61" t="inlineStr">
        <is>
          <t>0120</t>
        </is>
      </c>
      <c r="D111" s="60" t="n">
        <v>59200204</v>
      </c>
      <c r="E111" t="n">
        <v>6</v>
      </c>
      <c r="F111" t="n">
        <v>5</v>
      </c>
      <c r="G111" t="inlineStr">
        <is>
          <t>95500</t>
        </is>
      </c>
      <c r="H111" t="inlineStr">
        <is>
          <t>595500</t>
        </is>
      </c>
      <c r="I111" t="n">
        <v>595500</v>
      </c>
      <c r="J111" t="n">
        <v>595500</v>
      </c>
      <c r="K111" t="n">
        <v>595500</v>
      </c>
      <c r="L111" s="61" t="inlineStr">
        <is>
          <t>CC SMARTFAN, LOGIC HARNESS,1C</t>
        </is>
      </c>
      <c r="M111" s="61" t="inlineStr">
        <is>
          <t>A  59200204** B</t>
        </is>
      </c>
      <c r="N111" s="60" t="n">
        <v>1</v>
      </c>
      <c r="O111" s="60" t="n"/>
      <c r="P111" s="60" t="inlineStr">
        <is>
          <t>EA</t>
        </is>
      </c>
      <c r="Q111" s="60" t="n">
        <v>9</v>
      </c>
      <c r="R111" s="60" t="inlineStr">
        <is>
          <t>9DRWM</t>
        </is>
      </c>
      <c r="S111" s="56" t="n"/>
      <c r="T111" s="12" t="n"/>
      <c r="U111" s="12" t="n"/>
      <c r="V111" s="12" t="n"/>
      <c r="W111" s="91">
        <f>IF(AND(LEN(D205)&gt;=6,OR(LEFT(D205,1)="4",LEFT(D205,1)="5"),K205="9DRWM"),"SDRWM","")</f>
        <v/>
      </c>
      <c r="X111" s="123" t="inlineStr">
        <is>
          <t>595500</t>
        </is>
      </c>
      <c r="Y111" s="122" t="n"/>
      <c r="Z111" s="122" t="n"/>
    </row>
    <row r="112" ht="12" customFormat="1" customHeight="1" s="42">
      <c r="A112" s="60" t="n"/>
      <c r="B112" s="61" t="inlineStr">
        <is>
          <t>.....6</t>
        </is>
      </c>
      <c r="C112" s="61" t="inlineStr">
        <is>
          <t>0020</t>
        </is>
      </c>
      <c r="D112" s="60" t="n">
        <v>592049</v>
      </c>
      <c r="E112" t="n">
        <v>6</v>
      </c>
      <c r="F112" t="n">
        <v>5</v>
      </c>
      <c r="G112" t="inlineStr">
        <is>
          <t>95805</t>
        </is>
      </c>
      <c r="H112" t="inlineStr">
        <is>
          <t>595805</t>
        </is>
      </c>
      <c r="I112" t="n">
        <v>595805</v>
      </c>
      <c r="J112" t="n">
        <v>595805</v>
      </c>
      <c r="K112" t="n">
        <v>595805</v>
      </c>
      <c r="L112" s="61" t="inlineStr">
        <is>
          <t>FLANGE, BLOW IN TUBE</t>
        </is>
      </c>
      <c r="M112" s="61" t="inlineStr">
        <is>
          <t>B  592049  R 01</t>
        </is>
      </c>
      <c r="N112" s="60" t="n">
        <v>1</v>
      </c>
      <c r="O112" s="60" t="n"/>
      <c r="P112" s="60" t="inlineStr">
        <is>
          <t>EA</t>
        </is>
      </c>
      <c r="Q112" s="60" t="n">
        <v>4</v>
      </c>
      <c r="R112" s="60" t="inlineStr">
        <is>
          <t>KITM</t>
        </is>
      </c>
      <c r="S112" s="56" t="n"/>
      <c r="T112" s="12" t="n"/>
      <c r="U112" s="12" t="n"/>
      <c r="V112" s="12" t="n"/>
      <c r="W112" s="91">
        <f>IF(AND(LEN(D206)&gt;=6,OR(LEFT(D206,1)="4",LEFT(D206,1)="5"),K206="9DRWM"),"SDRWM","")</f>
        <v/>
      </c>
      <c r="X112" s="123" t="inlineStr">
        <is>
          <t>595805</t>
        </is>
      </c>
      <c r="Y112" s="122" t="n"/>
      <c r="Z112" s="122" t="n"/>
    </row>
    <row r="113" ht="12" customFormat="1" customHeight="1" s="42">
      <c r="A113" s="60" t="n"/>
      <c r="B113" s="61" t="inlineStr">
        <is>
          <t>....5</t>
        </is>
      </c>
      <c r="C113" s="61" t="inlineStr">
        <is>
          <t>0070</t>
        </is>
      </c>
      <c r="D113" s="60" t="n">
        <v>592167</v>
      </c>
      <c r="E113" t="n">
        <v>6</v>
      </c>
      <c r="F113" t="n">
        <v>5</v>
      </c>
      <c r="G113" t="inlineStr">
        <is>
          <t>95812</t>
        </is>
      </c>
      <c r="H113" t="inlineStr">
        <is>
          <t>595812</t>
        </is>
      </c>
      <c r="I113" t="n">
        <v>595812</v>
      </c>
      <c r="J113" t="n">
        <v>595812</v>
      </c>
      <c r="K113" t="n">
        <v>595812</v>
      </c>
      <c r="L113" s="61" t="inlineStr">
        <is>
          <t>COVER, B/T MOD POWER WIRE HOLE</t>
        </is>
      </c>
      <c r="M113" s="61" t="inlineStr">
        <is>
          <t>A 592167   R  B</t>
        </is>
      </c>
      <c r="N113" s="60" t="n">
        <v>1</v>
      </c>
      <c r="O113" s="60" t="n"/>
      <c r="P113" s="60" t="inlineStr">
        <is>
          <t>EA</t>
        </is>
      </c>
      <c r="Q113" s="60" t="n">
        <v>4</v>
      </c>
      <c r="R113" s="60" t="inlineStr">
        <is>
          <t>KITM</t>
        </is>
      </c>
      <c r="S113" s="56" t="n"/>
      <c r="T113" s="12" t="n"/>
      <c r="U113" s="12" t="n"/>
      <c r="V113" s="12" t="n"/>
      <c r="W113" s="91">
        <f>IF(AND(LEN(D207)&gt;=6,OR(LEFT(D207,1)="4",LEFT(D207,1)="5"),K207="9DRWM"),"SDRWM","")</f>
        <v/>
      </c>
      <c r="X113" s="123" t="inlineStr">
        <is>
          <t>595812</t>
        </is>
      </c>
      <c r="Y113" s="122" t="n"/>
      <c r="Z113" s="122" t="n"/>
    </row>
    <row r="114" ht="12" customFormat="1" customHeight="1" s="42">
      <c r="A114" s="60" t="n"/>
      <c r="B114" s="61" t="inlineStr">
        <is>
          <t>...4</t>
        </is>
      </c>
      <c r="C114" s="61" t="inlineStr">
        <is>
          <t>0010</t>
        </is>
      </c>
      <c r="D114" s="60" t="n">
        <v>593088</v>
      </c>
      <c r="E114" t="n">
        <v>6</v>
      </c>
      <c r="F114" t="n">
        <v>5</v>
      </c>
      <c r="G114" t="inlineStr">
        <is>
          <t>95839</t>
        </is>
      </c>
      <c r="H114" t="inlineStr">
        <is>
          <t>595839</t>
        </is>
      </c>
      <c r="I114" t="n">
        <v>595839</v>
      </c>
      <c r="J114" t="n">
        <v>595839</v>
      </c>
      <c r="K114" t="n">
        <v>595839</v>
      </c>
      <c r="L114" s="61" t="inlineStr">
        <is>
          <t>WEAR ROD CLIP, TUNNEL MT</t>
        </is>
      </c>
      <c r="M114" s="61" t="inlineStr">
        <is>
          <t>B 593088   R  A</t>
        </is>
      </c>
      <c r="N114" s="60" t="n">
        <v>6</v>
      </c>
      <c r="O114" s="60" t="n"/>
      <c r="P114" s="60" t="inlineStr">
        <is>
          <t>EA</t>
        </is>
      </c>
      <c r="Q114" s="60" t="n">
        <v>4</v>
      </c>
      <c r="R114" s="60" t="inlineStr">
        <is>
          <t>KITM</t>
        </is>
      </c>
      <c r="S114" s="56" t="n"/>
      <c r="T114" s="12" t="n"/>
      <c r="U114" s="12" t="n"/>
      <c r="V114" s="12" t="n"/>
      <c r="W114" s="91">
        <f>IF(AND(LEN(D208)&gt;=6,OR(LEFT(D208,1)="4",LEFT(D208,1)="5"),K208="9DRWM"),"SDRWM","")</f>
        <v/>
      </c>
      <c r="X114" s="123" t="inlineStr">
        <is>
          <t>595839</t>
        </is>
      </c>
      <c r="Y114" s="122" t="n"/>
      <c r="Z114" s="122" t="n"/>
    </row>
    <row r="115" ht="12" customFormat="1" customHeight="1" s="42">
      <c r="A115" s="60" t="n"/>
      <c r="B115" s="61" t="inlineStr">
        <is>
          <t>...4</t>
        </is>
      </c>
      <c r="C115" s="61" t="inlineStr">
        <is>
          <t>0060</t>
        </is>
      </c>
      <c r="D115" s="60" t="n">
        <v>593128</v>
      </c>
      <c r="L115" s="61" t="inlineStr">
        <is>
          <t>COVER, OIL RESERVOIR</t>
        </is>
      </c>
      <c r="M115" s="61" t="inlineStr">
        <is>
          <t>B 593128   R  D</t>
        </is>
      </c>
      <c r="N115" s="60" t="n">
        <v>1</v>
      </c>
      <c r="O115" s="60" t="n"/>
      <c r="P115" s="60" t="inlineStr">
        <is>
          <t>EA</t>
        </is>
      </c>
      <c r="Q115" s="60" t="n">
        <v>4</v>
      </c>
      <c r="R115" s="60" t="inlineStr">
        <is>
          <t>KITM</t>
        </is>
      </c>
      <c r="S115" s="56" t="n"/>
      <c r="T115" s="12" t="n"/>
      <c r="U115" s="12" t="n"/>
      <c r="V115" s="12" t="n"/>
      <c r="W115" s="91">
        <f>IF(AND(LEN(D209)&gt;=6,OR(LEFT(D209,1)="4",LEFT(D209,1)="5"),K209="9DRWM"),"SDRWM","")</f>
        <v/>
      </c>
      <c r="X115" s="2" t="n"/>
    </row>
    <row r="116" ht="12" customFormat="1" customHeight="1" s="42">
      <c r="A116" s="60" t="n"/>
      <c r="B116" s="61" t="inlineStr">
        <is>
          <t>...4</t>
        </is>
      </c>
      <c r="C116" s="61" t="inlineStr">
        <is>
          <t>0130</t>
        </is>
      </c>
      <c r="D116" s="60" t="n">
        <v>59316101</v>
      </c>
      <c r="E116" t="n">
        <v>6</v>
      </c>
      <c r="F116" t="n">
        <v>5</v>
      </c>
      <c r="G116" t="inlineStr">
        <is>
          <t>95865</t>
        </is>
      </c>
      <c r="H116" t="inlineStr">
        <is>
          <t>595865</t>
        </is>
      </c>
      <c r="I116" t="n">
        <v>595865</v>
      </c>
      <c r="J116" t="n">
        <v>595865</v>
      </c>
      <c r="K116" t="n">
        <v>595865</v>
      </c>
      <c r="L116" s="61" t="inlineStr">
        <is>
          <t>SPACER COMMON, 30" MK5, 12.7MM</t>
        </is>
      </c>
      <c r="M116" s="61" t="inlineStr">
        <is>
          <t>B 593161XX R  J</t>
        </is>
      </c>
      <c r="N116" s="60" t="n">
        <v>7</v>
      </c>
      <c r="O116" s="60" t="n"/>
      <c r="P116" s="60" t="inlineStr">
        <is>
          <t>EA</t>
        </is>
      </c>
      <c r="Q116" s="60" t="n">
        <v>4</v>
      </c>
      <c r="R116" s="60" t="inlineStr">
        <is>
          <t>KITM</t>
        </is>
      </c>
      <c r="S116" s="56" t="n"/>
      <c r="T116" s="12" t="n"/>
      <c r="U116" s="12" t="n"/>
      <c r="V116" s="12" t="n"/>
      <c r="W116" s="91">
        <f>IF(AND(LEN(D228)&gt;=6,OR(LEFT(D228,1)="4",LEFT(D228,1)="5"),K228="9DRWM"),"SDRWM","")</f>
        <v/>
      </c>
      <c r="X116" s="123" t="inlineStr">
        <is>
          <t>595865</t>
        </is>
      </c>
      <c r="Y116" s="122" t="n"/>
      <c r="Z116" s="122" t="n"/>
    </row>
    <row r="117" ht="12" customFormat="1" customHeight="1" s="42">
      <c r="A117" s="60" t="n"/>
      <c r="B117" s="61" t="inlineStr">
        <is>
          <t>...4</t>
        </is>
      </c>
      <c r="C117" s="61" t="inlineStr">
        <is>
          <t>0140</t>
        </is>
      </c>
      <c r="D117" s="60" t="n">
        <v>59316107</v>
      </c>
      <c r="L117" s="61" t="inlineStr">
        <is>
          <t>SPACER COMMON, 30" MK5, 53.8MM</t>
        </is>
      </c>
      <c r="M117" s="61" t="inlineStr">
        <is>
          <t>B 593161XX R  J</t>
        </is>
      </c>
      <c r="N117" s="60" t="n">
        <v>1</v>
      </c>
      <c r="O117" s="60" t="n"/>
      <c r="P117" s="60" t="inlineStr">
        <is>
          <t>EA</t>
        </is>
      </c>
      <c r="Q117" s="60" t="n">
        <v>4</v>
      </c>
      <c r="R117" s="60" t="inlineStr">
        <is>
          <t>KITM</t>
        </is>
      </c>
      <c r="S117" s="56" t="n"/>
      <c r="T117" s="12" t="n"/>
      <c r="U117" s="12" t="n"/>
      <c r="V117" s="12" t="n"/>
      <c r="W117" s="91">
        <f>IF(AND(LEN(D229)&gt;=6,OR(LEFT(D229,1)="4",LEFT(D229,1)="5"),K229="9DRWM"),"SDRWM","")</f>
        <v/>
      </c>
      <c r="X117" s="2" t="n"/>
    </row>
    <row r="118" ht="12" customFormat="1" customHeight="1" s="42">
      <c r="A118" s="60" t="n"/>
      <c r="B118" s="61" t="inlineStr">
        <is>
          <t>...4</t>
        </is>
      </c>
      <c r="C118" s="61" t="inlineStr">
        <is>
          <t>0150</t>
        </is>
      </c>
      <c r="D118" s="60" t="n">
        <v>59316116</v>
      </c>
      <c r="L118" s="61" t="inlineStr">
        <is>
          <t>SPACER COMMON,30" MK5, 36.5MM</t>
        </is>
      </c>
      <c r="M118" s="61" t="inlineStr">
        <is>
          <t>B 593161XX R  J</t>
        </is>
      </c>
      <c r="N118" s="60" t="n">
        <v>1</v>
      </c>
      <c r="O118" s="60" t="n"/>
      <c r="P118" s="60" t="inlineStr">
        <is>
          <t>EA</t>
        </is>
      </c>
      <c r="Q118" s="60" t="n">
        <v>4</v>
      </c>
      <c r="R118" s="60" t="inlineStr">
        <is>
          <t>KITM</t>
        </is>
      </c>
      <c r="S118" s="56" t="n"/>
      <c r="T118" s="12" t="n"/>
      <c r="U118" s="12" t="n"/>
      <c r="V118" s="12" t="n"/>
      <c r="W118" s="91">
        <f>IF(AND(LEN(D230)&gt;=6,OR(LEFT(D230,1)="4",LEFT(D230,1)="5"),K230="9DRWM"),"SDRWM","")</f>
        <v/>
      </c>
      <c r="X118" s="2" t="n"/>
    </row>
    <row r="119" ht="12" customFormat="1" customHeight="1" s="42">
      <c r="A119" s="60" t="n"/>
      <c r="B119" s="61" t="inlineStr">
        <is>
          <t>...4</t>
        </is>
      </c>
      <c r="C119" s="61" t="inlineStr">
        <is>
          <t>0130</t>
        </is>
      </c>
      <c r="D119" s="60" t="n">
        <v>59316101</v>
      </c>
      <c r="L119" s="61" t="inlineStr">
        <is>
          <t>SPACER COMMON, 30" MK5, 12.7MM</t>
        </is>
      </c>
      <c r="M119" s="61" t="inlineStr">
        <is>
          <t>B 593161XX R  J</t>
        </is>
      </c>
      <c r="N119" s="60" t="n">
        <v>7</v>
      </c>
      <c r="O119" s="60" t="n"/>
      <c r="P119" s="60" t="inlineStr">
        <is>
          <t>EA</t>
        </is>
      </c>
      <c r="Q119" s="60" t="n">
        <v>4</v>
      </c>
      <c r="R119" s="60" t="inlineStr">
        <is>
          <t>KITM</t>
        </is>
      </c>
      <c r="S119" s="56" t="n"/>
      <c r="T119" s="12" t="n"/>
      <c r="U119" s="12" t="n"/>
      <c r="V119" s="12" t="n"/>
      <c r="W119" s="91">
        <f>IF(AND(LEN(D231)&gt;=6,OR(LEFT(D231,1)="4",LEFT(D231,1)="5"),K231="9DRWM"),"SDRWM","")</f>
        <v/>
      </c>
      <c r="X119" s="2" t="n"/>
    </row>
    <row r="120" ht="12" customFormat="1" customHeight="1" s="42">
      <c r="A120" s="60" t="n"/>
      <c r="B120" s="61" t="inlineStr">
        <is>
          <t>...4</t>
        </is>
      </c>
      <c r="C120" s="61" t="inlineStr">
        <is>
          <t>0135</t>
        </is>
      </c>
      <c r="D120" s="60" t="n">
        <v>59316107</v>
      </c>
      <c r="E120" t="n">
        <v>8</v>
      </c>
      <c r="F120" t="n">
        <v>5</v>
      </c>
      <c r="G120" t="inlineStr">
        <is>
          <t>9586901</t>
        </is>
      </c>
      <c r="H120" t="inlineStr">
        <is>
          <t>59586901</t>
        </is>
      </c>
      <c r="I120" t="n">
        <v>59586901</v>
      </c>
      <c r="J120" t="n">
        <v>59586901</v>
      </c>
      <c r="K120" t="n">
        <v>595869</v>
      </c>
      <c r="L120" s="61" t="inlineStr">
        <is>
          <t>SPACER COMMON, 30" MK5, 53.8MM</t>
        </is>
      </c>
      <c r="M120" s="61" t="inlineStr">
        <is>
          <t>B 593161XX R  J</t>
        </is>
      </c>
      <c r="N120" s="60" t="n">
        <v>1</v>
      </c>
      <c r="O120" s="60" t="n"/>
      <c r="P120" s="60" t="inlineStr">
        <is>
          <t>EA</t>
        </is>
      </c>
      <c r="Q120" s="60" t="n">
        <v>4</v>
      </c>
      <c r="R120" s="60" t="inlineStr">
        <is>
          <t>KITM</t>
        </is>
      </c>
      <c r="S120" s="56" t="n"/>
      <c r="T120" s="12" t="n"/>
      <c r="U120" s="12" t="n"/>
      <c r="V120" s="12" t="n"/>
      <c r="W120" s="91">
        <f>IF(AND(LEN(D232)&gt;=6,OR(LEFT(D232,1)="4",LEFT(D232,1)="5"),K232="9DRWM"),"SDRWM","")</f>
        <v/>
      </c>
      <c r="X120" s="123" t="inlineStr">
        <is>
          <t>59586901</t>
        </is>
      </c>
      <c r="Y120" s="122" t="n"/>
      <c r="Z120" s="122" t="n"/>
    </row>
    <row r="121" ht="12" customFormat="1" customHeight="1" s="42">
      <c r="A121" s="60" t="n"/>
      <c r="B121" s="61" t="inlineStr">
        <is>
          <t>...4</t>
        </is>
      </c>
      <c r="C121" s="61" t="inlineStr">
        <is>
          <t>0140</t>
        </is>
      </c>
      <c r="D121" s="60" t="n">
        <v>59316114</v>
      </c>
      <c r="E121" t="n">
        <v>8</v>
      </c>
      <c r="F121" t="n">
        <v>5</v>
      </c>
      <c r="G121" t="inlineStr">
        <is>
          <t>9586901</t>
        </is>
      </c>
      <c r="H121" t="inlineStr">
        <is>
          <t>59586901</t>
        </is>
      </c>
      <c r="I121" t="n">
        <v>59586901</v>
      </c>
      <c r="J121" t="n">
        <v>59586901</v>
      </c>
      <c r="K121" t="n">
        <v>595869</v>
      </c>
      <c r="L121" s="61" t="inlineStr">
        <is>
          <t>SPACER COMMON,30" MK5, 141.5MM</t>
        </is>
      </c>
      <c r="M121" s="61" t="inlineStr">
        <is>
          <t>B 593161XX R  J</t>
        </is>
      </c>
      <c r="N121" s="60" t="n">
        <v>1</v>
      </c>
      <c r="O121" s="60" t="n"/>
      <c r="P121" s="60" t="inlineStr">
        <is>
          <t>EA</t>
        </is>
      </c>
      <c r="Q121" s="60" t="n">
        <v>4</v>
      </c>
      <c r="R121" s="60" t="inlineStr">
        <is>
          <t>KITM</t>
        </is>
      </c>
      <c r="S121" s="56" t="n"/>
      <c r="T121" s="12" t="n"/>
      <c r="U121" s="12" t="n"/>
      <c r="V121" s="12" t="n"/>
      <c r="W121" s="91">
        <f>IF(AND(LEN(D233)&gt;=6,OR(LEFT(D233,1)="4",LEFT(D233,1)="5"),K233="9DRWM"),"SDRWM","")</f>
        <v/>
      </c>
      <c r="X121" s="123" t="inlineStr">
        <is>
          <t>59586901</t>
        </is>
      </c>
      <c r="Y121" s="122" t="n"/>
      <c r="Z121" s="122" t="n"/>
    </row>
    <row r="122" hidden="1" ht="12" customFormat="1" customHeight="1" s="42">
      <c r="A122" s="60" t="n"/>
      <c r="B122" s="61" t="inlineStr">
        <is>
          <t>.2</t>
        </is>
      </c>
      <c r="C122" s="61" t="inlineStr">
        <is>
          <t>0070</t>
        </is>
      </c>
      <c r="D122" s="60" t="n">
        <v>598817</v>
      </c>
      <c r="E122" t="n">
        <v>8</v>
      </c>
      <c r="F122" t="n">
        <v>5</v>
      </c>
      <c r="G122" t="inlineStr">
        <is>
          <t>9587201</t>
        </is>
      </c>
      <c r="H122" t="inlineStr">
        <is>
          <t>59587201</t>
        </is>
      </c>
      <c r="I122" t="n">
        <v>59587201</v>
      </c>
      <c r="J122" t="n">
        <v>59587201</v>
      </c>
      <c r="K122" t="n">
        <v>595872</v>
      </c>
      <c r="L122" s="61" t="inlineStr">
        <is>
          <t>POWER SWITCH BRKT ASSY, REAR</t>
        </is>
      </c>
      <c r="M122" s="61" t="inlineStr">
        <is>
          <t>B 598817   R  A</t>
        </is>
      </c>
      <c r="N122" s="60" t="n">
        <v>1</v>
      </c>
      <c r="O122" s="60" t="n"/>
      <c r="P122" s="60" t="inlineStr">
        <is>
          <t>EA</t>
        </is>
      </c>
      <c r="Q122" s="60" t="n">
        <v>0</v>
      </c>
      <c r="R122" s="60" t="n"/>
      <c r="S122" s="56" t="inlineStr">
        <is>
          <t>9DRWM TO BLANK</t>
        </is>
      </c>
      <c r="T122" s="12" t="n"/>
      <c r="U122" s="12" t="n"/>
      <c r="V122" s="12" t="n"/>
      <c r="W122" s="91">
        <f>IF(AND(LEN(D234)&gt;=6,OR(LEFT(D234,1)="4",LEFT(D234,1)="5"),K234="9DRWM"),"SDRWM","")</f>
        <v/>
      </c>
      <c r="X122" s="123" t="inlineStr">
        <is>
          <t>59587201</t>
        </is>
      </c>
      <c r="Y122" s="122" t="n"/>
      <c r="Z122" s="122" t="n"/>
    </row>
    <row r="123" ht="12" customFormat="1" customHeight="1" s="42">
      <c r="A123" s="60" t="n"/>
      <c r="B123" s="61" t="inlineStr">
        <is>
          <t>...4</t>
        </is>
      </c>
      <c r="C123" s="61" t="inlineStr">
        <is>
          <t>0160</t>
        </is>
      </c>
      <c r="D123" s="60" t="n">
        <v>59316215</v>
      </c>
      <c r="L123" s="61" t="inlineStr">
        <is>
          <t>SPACER, SLOPED, 194MM, 30" MK5</t>
        </is>
      </c>
      <c r="M123" s="61" t="inlineStr">
        <is>
          <t>B 593162XX R  L</t>
        </is>
      </c>
      <c r="N123" s="60" t="n">
        <v>1</v>
      </c>
      <c r="O123" s="60" t="n"/>
      <c r="P123" s="60" t="inlineStr">
        <is>
          <t>EA</t>
        </is>
      </c>
      <c r="Q123" s="60" t="n">
        <v>4</v>
      </c>
      <c r="R123" s="60" t="inlineStr">
        <is>
          <t>KITM</t>
        </is>
      </c>
      <c r="S123" s="56" t="n"/>
      <c r="T123" s="12" t="n"/>
      <c r="U123" s="12" t="n"/>
      <c r="V123" s="12" t="n"/>
      <c r="W123" s="91">
        <f>IF(AND(LEN(D235)&gt;=6,OR(LEFT(D235,1)="4",LEFT(D235,1)="5"),K235="9DRWM"),"SDRWM","")</f>
        <v/>
      </c>
      <c r="X123" s="2" t="n"/>
    </row>
    <row r="124" ht="12" customFormat="1" customHeight="1" s="42">
      <c r="A124" s="60" t="n"/>
      <c r="B124" s="61" t="inlineStr">
        <is>
          <t>...4</t>
        </is>
      </c>
      <c r="C124" s="61" t="inlineStr">
        <is>
          <t>0030</t>
        </is>
      </c>
      <c r="D124" s="60" t="n">
        <v>593166</v>
      </c>
      <c r="L124" s="61" t="inlineStr">
        <is>
          <t>END WALL, TOP, 30" MK5</t>
        </is>
      </c>
      <c r="M124" s="61" t="inlineStr">
        <is>
          <t>C 593166   R  B</t>
        </is>
      </c>
      <c r="N124" s="60" t="n">
        <v>2</v>
      </c>
      <c r="O124" s="60" t="n"/>
      <c r="P124" s="60" t="inlineStr">
        <is>
          <t>EA</t>
        </is>
      </c>
      <c r="Q124" s="60" t="n">
        <v>4</v>
      </c>
      <c r="R124" s="60" t="inlineStr">
        <is>
          <t>KITM</t>
        </is>
      </c>
      <c r="S124" s="56" t="n"/>
      <c r="T124" s="12" t="n"/>
      <c r="U124" s="12" t="n"/>
      <c r="V124" s="12" t="n"/>
      <c r="W124" s="91">
        <f>IF(AND(LEN(D236)&gt;=6,OR(LEFT(D236,1)="4",LEFT(D236,1)="5"),K236="9DRWM"),"SDRWM","")</f>
        <v/>
      </c>
      <c r="X124" s="2" t="n"/>
    </row>
    <row r="125" hidden="1" ht="12" customFormat="1" customHeight="1" s="42">
      <c r="A125" s="60" t="n"/>
      <c r="B125" s="61" t="inlineStr">
        <is>
          <t>..3</t>
        </is>
      </c>
      <c r="C125" s="61" t="inlineStr">
        <is>
          <t>0050</t>
        </is>
      </c>
      <c r="D125" s="60" t="n">
        <v>595769</v>
      </c>
      <c r="L125" s="61" t="inlineStr">
        <is>
          <t>COVER, MAIN POWER SWITCH</t>
        </is>
      </c>
      <c r="M125" s="61" t="inlineStr">
        <is>
          <t>A 595769   R</t>
        </is>
      </c>
      <c r="N125" s="60" t="n">
        <v>1</v>
      </c>
      <c r="O125" s="60" t="n"/>
      <c r="P125" s="60" t="inlineStr">
        <is>
          <t>EA</t>
        </is>
      </c>
      <c r="Q125" s="60" t="n">
        <v>4</v>
      </c>
      <c r="R125" s="60" t="inlineStr">
        <is>
          <t>KITMP</t>
        </is>
      </c>
      <c r="S125" s="56" t="n"/>
      <c r="T125" s="12" t="n"/>
      <c r="U125" s="12" t="n"/>
      <c r="V125" s="12" t="n"/>
      <c r="W125" s="91">
        <f>IF(AND(LEN(D239)&gt;=6,OR(LEFT(D239,1)="4",LEFT(D239,1)="5"),K239="9DRWM"),"SDRWM","")</f>
        <v/>
      </c>
      <c r="X125" s="2" t="n"/>
    </row>
    <row r="126" ht="12" customFormat="1" customHeight="1" s="42">
      <c r="A126" s="60" t="n"/>
      <c r="B126" s="61" t="inlineStr">
        <is>
          <t>...4</t>
        </is>
      </c>
      <c r="C126" s="61" t="inlineStr">
        <is>
          <t>0030</t>
        </is>
      </c>
      <c r="D126" s="60" t="n">
        <v>593177</v>
      </c>
      <c r="L126" s="61" t="inlineStr">
        <is>
          <t>END WALL, BTM, 30" MK5</t>
        </is>
      </c>
      <c r="M126" s="61" t="inlineStr">
        <is>
          <t>C 593177   R  A</t>
        </is>
      </c>
      <c r="N126" s="60" t="n">
        <v>2</v>
      </c>
      <c r="O126" s="60" t="n"/>
      <c r="P126" s="60" t="inlineStr">
        <is>
          <t>EA</t>
        </is>
      </c>
      <c r="Q126" s="60" t="n">
        <v>4</v>
      </c>
      <c r="R126" s="60" t="inlineStr">
        <is>
          <t>KITM</t>
        </is>
      </c>
      <c r="S126" s="56" t="n"/>
      <c r="T126" s="12" t="n"/>
      <c r="U126" s="12" t="n"/>
      <c r="V126" s="12" t="n"/>
      <c r="W126" s="91">
        <f>IF(AND(LEN(D243)&gt;=6,OR(LEFT(D243,1)="4",LEFT(D243,1)="5"),K243="9DRWM"),"SDRWM","")</f>
        <v/>
      </c>
      <c r="X126" s="2" t="n"/>
    </row>
    <row r="127" ht="12" customFormat="1" customHeight="1" s="42">
      <c r="A127" s="60" t="n"/>
      <c r="B127" s="61" t="inlineStr">
        <is>
          <t>...4</t>
        </is>
      </c>
      <c r="C127" s="61" t="inlineStr">
        <is>
          <t>0150</t>
        </is>
      </c>
      <c r="D127" s="60" t="n">
        <v>593252</v>
      </c>
      <c r="L127" s="61" t="inlineStr">
        <is>
          <t>SPACER, CLS/MESH, MK5</t>
        </is>
      </c>
      <c r="M127" s="61" t="inlineStr">
        <is>
          <t>B 593252   R  D</t>
        </is>
      </c>
      <c r="N127" s="60" t="n">
        <v>1</v>
      </c>
      <c r="O127" s="60" t="n"/>
      <c r="P127" s="60" t="inlineStr">
        <is>
          <t>EA</t>
        </is>
      </c>
      <c r="Q127" s="60" t="n">
        <v>4</v>
      </c>
      <c r="R127" s="60" t="inlineStr">
        <is>
          <t>KITM</t>
        </is>
      </c>
      <c r="S127" s="56" t="n"/>
      <c r="T127" s="12" t="n"/>
      <c r="U127" s="12" t="n"/>
      <c r="V127" s="12" t="n"/>
      <c r="W127" s="91">
        <f>IF(AND(LEN(D244)&gt;=6,OR(LEFT(D244,1)="4",LEFT(D244,1)="5"),K244="9DRWM"),"SDRWM","")</f>
        <v/>
      </c>
      <c r="X127" s="2" t="n"/>
    </row>
    <row r="128" ht="12" customFormat="1" customHeight="1" s="42">
      <c r="A128" s="60" t="n"/>
      <c r="B128" s="61" t="inlineStr">
        <is>
          <t>..3</t>
        </is>
      </c>
      <c r="C128" s="61" t="inlineStr">
        <is>
          <t>0020</t>
        </is>
      </c>
      <c r="D128" s="60" t="n">
        <v>59336502</v>
      </c>
      <c r="E128" t="n">
        <v>6</v>
      </c>
      <c r="F128" t="n">
        <v>5</v>
      </c>
      <c r="G128" t="inlineStr">
        <is>
          <t>95875</t>
        </is>
      </c>
      <c r="H128" t="inlineStr">
        <is>
          <t>595875</t>
        </is>
      </c>
      <c r="I128" t="n">
        <v>595875</v>
      </c>
      <c r="J128" t="n">
        <v>595875</v>
      </c>
      <c r="K128" t="n">
        <v>595875</v>
      </c>
      <c r="L128" s="61" t="inlineStr">
        <is>
          <t>AIR BLOCKING BRKT MK5,22''</t>
        </is>
      </c>
      <c r="M128" s="61" t="inlineStr">
        <is>
          <t>D 593365XX R  C</t>
        </is>
      </c>
      <c r="N128" s="60" t="n">
        <v>1</v>
      </c>
      <c r="O128" s="60" t="n"/>
      <c r="P128" s="60" t="inlineStr">
        <is>
          <t>EA</t>
        </is>
      </c>
      <c r="Q128" s="60" t="n">
        <v>4</v>
      </c>
      <c r="R128" s="60" t="inlineStr">
        <is>
          <t>KITM</t>
        </is>
      </c>
      <c r="S128" s="56" t="n"/>
      <c r="T128" s="12" t="n"/>
      <c r="U128" s="12" t="n"/>
      <c r="V128" s="12" t="n"/>
      <c r="W128" s="91">
        <f>IF(AND(LEN(D245)&gt;=6,OR(LEFT(D245,1)="4",LEFT(D245,1)="5"),K245="9DRWM"),"SDRWM","")</f>
        <v/>
      </c>
      <c r="X128" s="123" t="inlineStr">
        <is>
          <t>595875</t>
        </is>
      </c>
      <c r="Y128" s="122" t="n"/>
      <c r="Z128" s="122" t="n"/>
    </row>
    <row r="129" ht="12" customFormat="1" customHeight="1" s="42">
      <c r="A129" s="60" t="n"/>
      <c r="B129" s="61" t="inlineStr">
        <is>
          <t>...4</t>
        </is>
      </c>
      <c r="C129" s="61" t="inlineStr">
        <is>
          <t>0130</t>
        </is>
      </c>
      <c r="D129" s="60" t="n">
        <v>593366</v>
      </c>
      <c r="L129" s="61" t="inlineStr">
        <is>
          <t>BLOWER WELDMENT,VERTICAL,4" QK</t>
        </is>
      </c>
      <c r="M129" s="61" t="inlineStr">
        <is>
          <t>B 593366   R  D</t>
        </is>
      </c>
      <c r="N129" s="60" t="n">
        <v>1</v>
      </c>
      <c r="O129" s="60" t="n"/>
      <c r="P129" s="60" t="inlineStr">
        <is>
          <t>EA</t>
        </is>
      </c>
      <c r="Q129" s="60" t="n">
        <v>4</v>
      </c>
      <c r="R129" s="60" t="inlineStr">
        <is>
          <t>KITM</t>
        </is>
      </c>
      <c r="S129" s="56" t="n"/>
      <c r="T129" s="12" t="n"/>
      <c r="U129" s="12" t="n"/>
      <c r="V129" s="12" t="n"/>
      <c r="W129" s="91">
        <f>IF(AND(LEN(D246)&gt;=6,OR(LEFT(D246,1)="4",LEFT(D246,1)="5"),K246="9DRWM"),"SDRWM","")</f>
        <v/>
      </c>
      <c r="X129" s="2" t="n"/>
    </row>
    <row r="130" ht="12" customFormat="1" customHeight="1" s="42">
      <c r="A130" s="60" t="n"/>
      <c r="B130" s="61" t="inlineStr">
        <is>
          <t>...4</t>
        </is>
      </c>
      <c r="C130" s="61" t="inlineStr">
        <is>
          <t>0140</t>
        </is>
      </c>
      <c r="D130" s="60" t="n">
        <v>593367</v>
      </c>
      <c r="L130" s="61" t="inlineStr">
        <is>
          <t>4" QK FLANGE &amp; 3" CONNECTOR</t>
        </is>
      </c>
      <c r="M130" s="61" t="inlineStr">
        <is>
          <t>B 593367   R</t>
        </is>
      </c>
      <c r="N130" s="60" t="n">
        <v>1</v>
      </c>
      <c r="O130" s="60" t="n"/>
      <c r="P130" s="60" t="inlineStr">
        <is>
          <t>EA</t>
        </is>
      </c>
      <c r="Q130" s="60" t="n">
        <v>4</v>
      </c>
      <c r="R130" s="60" t="inlineStr">
        <is>
          <t>KITM</t>
        </is>
      </c>
      <c r="S130" s="56" t="n"/>
      <c r="T130" s="12" t="n"/>
      <c r="U130" s="12" t="n"/>
      <c r="V130" s="12" t="n"/>
      <c r="W130" s="91">
        <f>IF(AND(LEN(D255)&gt;=6,OR(LEFT(D255,1)="4",LEFT(D255,1)="5"),K255="9DRWM"),"SDRWM","")</f>
        <v/>
      </c>
      <c r="X130" s="2" t="n"/>
    </row>
    <row r="131" ht="12" customFormat="1" customHeight="1" s="42">
      <c r="A131" s="60" t="n"/>
      <c r="B131" s="61" t="inlineStr">
        <is>
          <t>....5</t>
        </is>
      </c>
      <c r="C131" s="61" t="inlineStr">
        <is>
          <t>0160</t>
        </is>
      </c>
      <c r="D131" s="60" t="n">
        <v>593406</v>
      </c>
      <c r="L131" s="61" t="inlineStr">
        <is>
          <t>END PANEL EDGE TRIM</t>
        </is>
      </c>
      <c r="M131" s="61" t="inlineStr">
        <is>
          <t>A 593406   R</t>
        </is>
      </c>
      <c r="N131" s="60" t="n">
        <v>2</v>
      </c>
      <c r="O131" s="60" t="n"/>
      <c r="P131" s="60" t="inlineStr">
        <is>
          <t>EA</t>
        </is>
      </c>
      <c r="Q131" s="60" t="n">
        <v>4</v>
      </c>
      <c r="R131" s="60" t="inlineStr">
        <is>
          <t>KITM</t>
        </is>
      </c>
      <c r="S131" s="56" t="n"/>
      <c r="T131" s="12" t="n"/>
      <c r="U131" s="12" t="n"/>
      <c r="V131" s="12" t="n"/>
      <c r="W131" s="91">
        <f>IF(AND(LEN(D262)&gt;=6,OR(LEFT(D262,1)="4",LEFT(D262,1)="5"),K262="9DRWM"),"SDRWM","")</f>
        <v/>
      </c>
      <c r="X131" s="2" t="n"/>
    </row>
    <row r="132" ht="12" customFormat="1" customHeight="1" s="42">
      <c r="A132" s="60" t="n"/>
      <c r="B132" s="61" t="inlineStr">
        <is>
          <t>..3</t>
        </is>
      </c>
      <c r="C132" s="61" t="inlineStr">
        <is>
          <t>0030</t>
        </is>
      </c>
      <c r="D132" s="60" t="n">
        <v>59371101</v>
      </c>
      <c r="L132" s="61" t="inlineStr">
        <is>
          <t>TOP SHELL LEFT WELDMT,1936MK5</t>
        </is>
      </c>
      <c r="M132" s="61" t="inlineStr">
        <is>
          <t>D 593711XX R  E</t>
        </is>
      </c>
      <c r="N132" s="60" t="n">
        <v>1</v>
      </c>
      <c r="O132" s="60" t="n"/>
      <c r="P132" s="60" t="inlineStr">
        <is>
          <t>EA</t>
        </is>
      </c>
      <c r="Q132" s="60" t="n">
        <v>4</v>
      </c>
      <c r="R132" s="60" t="inlineStr">
        <is>
          <t>KITM</t>
        </is>
      </c>
      <c r="S132" s="56" t="n"/>
      <c r="T132" s="12" t="n"/>
      <c r="U132" s="12" t="n"/>
      <c r="V132" s="12" t="n"/>
      <c r="W132" s="91">
        <f>IF(AND(LEN(D264)&gt;=6,OR(LEFT(D264,1)="4",LEFT(D264,1)="5"),K264="9DRWM"),"SDRWM","")</f>
        <v/>
      </c>
      <c r="X132" s="2" t="n"/>
    </row>
    <row r="133" ht="12" customFormat="1" customHeight="1" s="42">
      <c r="A133" s="60" t="n"/>
      <c r="B133" s="61" t="inlineStr">
        <is>
          <t>..3</t>
        </is>
      </c>
      <c r="C133" s="61" t="inlineStr">
        <is>
          <t>0040</t>
        </is>
      </c>
      <c r="D133" s="60" t="n">
        <v>59371102</v>
      </c>
      <c r="L133" s="61" t="inlineStr">
        <is>
          <t>TOP SHELL RIGHT WELDMT,1936MK5</t>
        </is>
      </c>
      <c r="M133" s="61" t="inlineStr">
        <is>
          <t>D 593711XX R  E</t>
        </is>
      </c>
      <c r="N133" s="60" t="n">
        <v>1</v>
      </c>
      <c r="O133" s="60" t="n"/>
      <c r="P133" s="60" t="inlineStr">
        <is>
          <t>EA</t>
        </is>
      </c>
      <c r="Q133" s="60" t="n">
        <v>4</v>
      </c>
      <c r="R133" s="60" t="inlineStr">
        <is>
          <t>KITM</t>
        </is>
      </c>
      <c r="S133" s="56" t="n"/>
      <c r="T133" s="12" t="n"/>
      <c r="U133" s="12" t="n"/>
      <c r="V133" s="12" t="n"/>
      <c r="W133" s="91">
        <f>IF(AND(LEN(D272)&gt;=6,OR(LEFT(D272,1)="4",LEFT(D272,1)="5"),K272="9DRWM"),"SDRWM","")</f>
        <v/>
      </c>
      <c r="X133" s="54" t="n"/>
    </row>
    <row r="134" ht="12" customFormat="1" customHeight="1" s="42">
      <c r="A134" s="60" t="n"/>
      <c r="B134" s="61" t="inlineStr">
        <is>
          <t>..3</t>
        </is>
      </c>
      <c r="C134" s="61" t="inlineStr">
        <is>
          <t>0060</t>
        </is>
      </c>
      <c r="D134" s="60" t="n">
        <v>593726</v>
      </c>
      <c r="L134" s="61" t="inlineStr">
        <is>
          <t>CROSS BRACE, TOP SHELL, MK5</t>
        </is>
      </c>
      <c r="M134" s="61" t="inlineStr">
        <is>
          <t>C 593726XX R  E</t>
        </is>
      </c>
      <c r="N134" s="60" t="n">
        <v>2</v>
      </c>
      <c r="O134" s="60" t="n"/>
      <c r="P134" s="60" t="inlineStr">
        <is>
          <t>EA</t>
        </is>
      </c>
      <c r="Q134" s="60" t="n">
        <v>4</v>
      </c>
      <c r="R134" s="60" t="inlineStr">
        <is>
          <t>KITM</t>
        </is>
      </c>
      <c r="S134" s="56" t="n"/>
      <c r="T134" s="12" t="n"/>
      <c r="U134" s="12" t="n"/>
      <c r="V134" s="12" t="n"/>
      <c r="W134" s="91">
        <f>IF(AND(LEN(D273)&gt;=6,OR(LEFT(D273,1)="4",LEFT(D273,1)="5"),K273="9DRWM"),"SDRWM","")</f>
        <v/>
      </c>
      <c r="X134" s="54" t="n"/>
    </row>
    <row r="135" hidden="1" ht="12" customFormat="1" customHeight="1" s="42">
      <c r="A135" s="57" t="n"/>
      <c r="B135" s="58" t="inlineStr">
        <is>
          <t>1</t>
        </is>
      </c>
      <c r="C135" s="58" t="inlineStr">
        <is>
          <t>0030</t>
        </is>
      </c>
      <c r="D135" s="57" t="n">
        <v>599754</v>
      </c>
      <c r="L135" s="58" t="inlineStr">
        <is>
          <t>INTEGRATION ASSY, MK5&amp;7</t>
        </is>
      </c>
      <c r="M135" s="58" t="inlineStr">
        <is>
          <t>BM599754   R  A</t>
        </is>
      </c>
      <c r="N135" s="57" t="n">
        <v>1</v>
      </c>
      <c r="O135" s="57" t="n"/>
      <c r="P135" s="57" t="inlineStr">
        <is>
          <t>EA</t>
        </is>
      </c>
      <c r="Q135" s="57" t="n">
        <v>0</v>
      </c>
      <c r="R135" s="57" t="n"/>
      <c r="S135" s="59" t="inlineStr">
        <is>
          <t>9DRWM TO BLANK</t>
        </is>
      </c>
      <c r="T135" s="43" t="n"/>
      <c r="U135" s="43" t="n"/>
      <c r="V135" s="43" t="n"/>
      <c r="W135" s="44">
        <f>IF(AND(LEN(D275)&gt;=6,OR(LEFT(D275,1)="4",LEFT(D275,1)="5"),K275="9DRWM"),"SDRWM","")</f>
        <v/>
      </c>
      <c r="X135" s="2" t="n"/>
    </row>
    <row r="136" hidden="1" ht="12" customFormat="1" customHeight="1" s="42">
      <c r="A136" s="60" t="n"/>
      <c r="B136" s="61" t="inlineStr">
        <is>
          <t>.2</t>
        </is>
      </c>
      <c r="C136" s="61" t="inlineStr">
        <is>
          <t>0010</t>
        </is>
      </c>
      <c r="D136" s="60" t="n">
        <v>5900249</v>
      </c>
      <c r="L136" s="61" t="inlineStr">
        <is>
          <t>LINAK PUSH/PULL COMP, 17/18/19</t>
        </is>
      </c>
      <c r="M136" s="61" t="inlineStr">
        <is>
          <t>BM5900249  R  A</t>
        </is>
      </c>
      <c r="N136" s="60" t="n">
        <v>1</v>
      </c>
      <c r="O136" s="60" t="n"/>
      <c r="P136" s="60" t="inlineStr">
        <is>
          <t>EA</t>
        </is>
      </c>
      <c r="Q136" s="60" t="n">
        <v>0</v>
      </c>
      <c r="R136" s="60" t="n"/>
      <c r="S136" s="56" t="inlineStr">
        <is>
          <t>9DRWM TO BLANK</t>
        </is>
      </c>
      <c r="T136" s="12" t="n"/>
      <c r="U136" s="12" t="n"/>
      <c r="V136" s="12" t="n"/>
      <c r="W136" s="91">
        <f>IF(AND(LEN(D276)&gt;=6,OR(LEFT(D276,1)="4",LEFT(D276,1)="5"),K276="9DRWM"),"SDRWM","")</f>
        <v/>
      </c>
      <c r="X136" s="2" t="n"/>
    </row>
    <row r="137" ht="12" customFormat="1" customHeight="1" s="42">
      <c r="A137" s="60" t="n"/>
      <c r="B137" s="61" t="inlineStr">
        <is>
          <t>..3</t>
        </is>
      </c>
      <c r="C137" s="61" t="inlineStr">
        <is>
          <t>0050</t>
        </is>
      </c>
      <c r="D137" s="60" t="n">
        <v>593727</v>
      </c>
      <c r="L137" s="61" t="inlineStr">
        <is>
          <t>DIN RAIL BRACKET,TOP SHELL,MK5</t>
        </is>
      </c>
      <c r="M137" s="61" t="inlineStr">
        <is>
          <t>A 593727   R  B</t>
        </is>
      </c>
      <c r="N137" s="60" t="n">
        <v>9</v>
      </c>
      <c r="O137" s="60" t="n"/>
      <c r="P137" s="60" t="inlineStr">
        <is>
          <t>EA</t>
        </is>
      </c>
      <c r="Q137" s="60" t="n">
        <v>4</v>
      </c>
      <c r="R137" s="60" t="inlineStr">
        <is>
          <t>KITM</t>
        </is>
      </c>
      <c r="S137" s="56" t="n"/>
      <c r="T137" s="91" t="n"/>
      <c r="U137" s="91" t="n"/>
      <c r="V137" s="12" t="n"/>
      <c r="W137" s="91">
        <f>IF(AND(LEN(D277)&gt;=6,OR(LEFT(D277,1)="4",LEFT(D277,1)="5"),K277="9DRWM"),"SDRWM","")</f>
        <v/>
      </c>
      <c r="X137" s="2" t="n"/>
    </row>
    <row r="138" ht="12" customFormat="1" customHeight="1" s="42">
      <c r="A138" s="60" t="n"/>
      <c r="B138" s="61" t="inlineStr">
        <is>
          <t>...4</t>
        </is>
      </c>
      <c r="C138" s="61" t="inlineStr">
        <is>
          <t>0001</t>
        </is>
      </c>
      <c r="D138" s="60" t="n">
        <v>593755</v>
      </c>
      <c r="L138" s="61" t="inlineStr">
        <is>
          <t>EHC CHAIN LUBE MSDS</t>
        </is>
      </c>
      <c r="M138" s="61" t="inlineStr">
        <is>
          <t>A 593755   R  A</t>
        </is>
      </c>
      <c r="N138" s="60" t="n">
        <v>0</v>
      </c>
      <c r="O138" s="60" t="n"/>
      <c r="P138" s="60" t="inlineStr">
        <is>
          <t>RF</t>
        </is>
      </c>
      <c r="Q138" s="60" t="n">
        <v>9</v>
      </c>
      <c r="R138" s="60" t="inlineStr">
        <is>
          <t>9DRWM</t>
        </is>
      </c>
      <c r="S138" s="56" t="n"/>
      <c r="T138" s="12" t="n"/>
      <c r="U138" s="12" t="n"/>
      <c r="V138" s="12" t="n"/>
      <c r="W138" s="91">
        <f>IF(AND(LEN(D278)&gt;=6,OR(LEFT(D278,1)="4",LEFT(D278,1)="5"),K278="9DRWM"),"SDRWM","")</f>
        <v/>
      </c>
      <c r="X138" s="2" t="n"/>
    </row>
    <row r="139" ht="12" customFormat="1" customHeight="1" s="42">
      <c r="A139" s="60" t="n"/>
      <c r="B139" s="61" t="inlineStr">
        <is>
          <t>.2</t>
        </is>
      </c>
      <c r="C139" s="61" t="inlineStr">
        <is>
          <t>0003</t>
        </is>
      </c>
      <c r="D139" s="60" t="n">
        <v>593855</v>
      </c>
      <c r="L139" s="61" t="inlineStr">
        <is>
          <t>PANEL, EXTERNAL COOL, AIR, MK5</t>
        </is>
      </c>
      <c r="M139" s="61" t="inlineStr">
        <is>
          <t>D 593855   R  B</t>
        </is>
      </c>
      <c r="N139" s="60" t="n">
        <v>-1</v>
      </c>
      <c r="O139" s="60" t="n"/>
      <c r="P139" s="60" t="inlineStr">
        <is>
          <t>EA</t>
        </is>
      </c>
      <c r="Q139" s="60" t="n">
        <v>4</v>
      </c>
      <c r="R139" s="60" t="inlineStr">
        <is>
          <t>KITM</t>
        </is>
      </c>
      <c r="S139" s="56" t="n"/>
      <c r="T139" s="12" t="n"/>
      <c r="U139" s="12" t="n"/>
      <c r="V139" s="12" t="n"/>
      <c r="W139" s="91">
        <f>IF(AND(LEN(D279)&gt;=6,OR(LEFT(D279,1)="4",LEFT(D279,1)="5"),K279="9DRWM"),"SDRWM","")</f>
        <v/>
      </c>
      <c r="X139" s="2" t="n"/>
    </row>
    <row r="140" ht="12" customFormat="1" customHeight="1" s="42">
      <c r="A140" s="60" t="n"/>
      <c r="B140" s="61" t="inlineStr">
        <is>
          <t>..3</t>
        </is>
      </c>
      <c r="C140" s="61" t="inlineStr">
        <is>
          <t>0040</t>
        </is>
      </c>
      <c r="D140" s="60" t="n">
        <v>593855</v>
      </c>
      <c r="L140" s="61" t="inlineStr">
        <is>
          <t>PANEL, EXTERNAL COOL, AIR, MK5</t>
        </is>
      </c>
      <c r="M140" s="61" t="inlineStr">
        <is>
          <t>D 593855   R  B</t>
        </is>
      </c>
      <c r="N140" s="60" t="n">
        <v>1</v>
      </c>
      <c r="O140" s="60" t="n"/>
      <c r="P140" s="60" t="inlineStr">
        <is>
          <t>EA</t>
        </is>
      </c>
      <c r="Q140" s="60" t="n">
        <v>4</v>
      </c>
      <c r="R140" s="60" t="inlineStr">
        <is>
          <t>KITM</t>
        </is>
      </c>
      <c r="S140" s="56" t="n"/>
      <c r="T140" s="12" t="n"/>
      <c r="U140" s="12" t="n"/>
      <c r="V140" s="12" t="n"/>
      <c r="W140" s="91">
        <f>IF(AND(LEN(D280)&gt;=6,OR(LEFT(D280,1)="4",LEFT(D280,1)="5"),K280="9DRWM"),"SDRWM","")</f>
        <v/>
      </c>
      <c r="X140" s="2" t="n"/>
    </row>
    <row r="141" ht="12" customFormat="1" customHeight="1" s="42">
      <c r="A141" s="60" t="n"/>
      <c r="B141" s="61" t="inlineStr">
        <is>
          <t>..3</t>
        </is>
      </c>
      <c r="C141" s="61" t="inlineStr">
        <is>
          <t>0010</t>
        </is>
      </c>
      <c r="D141" s="60" t="n">
        <v>59385601</v>
      </c>
      <c r="L141" s="61" t="inlineStr">
        <is>
          <t>TOP ALT, EXIT COOL, L/R, MK5</t>
        </is>
      </c>
      <c r="M141" s="61" t="inlineStr">
        <is>
          <t>D 59385601 R  A</t>
        </is>
      </c>
      <c r="N141" s="60" t="n">
        <v>1</v>
      </c>
      <c r="O141" s="60" t="n"/>
      <c r="P141" s="60" t="inlineStr">
        <is>
          <t>RF</t>
        </is>
      </c>
      <c r="Q141" s="60" t="n">
        <v>9</v>
      </c>
      <c r="R141" s="60" t="inlineStr">
        <is>
          <t>SDRWM</t>
        </is>
      </c>
      <c r="S141" s="56" t="n"/>
      <c r="T141" s="12" t="n"/>
      <c r="U141" s="12" t="n"/>
      <c r="V141" s="12" t="n"/>
      <c r="W141" s="91">
        <f>IF(AND(LEN(D281)&gt;=6,OR(LEFT(D281,1)="4",LEFT(D281,1)="5"),K281="9DRWM"),"SDRWM","")</f>
        <v/>
      </c>
      <c r="X141" s="2" t="n"/>
    </row>
    <row r="142" ht="12" customFormat="1" customHeight="1" s="46">
      <c r="A142" s="60" t="n"/>
      <c r="B142" s="61" t="inlineStr">
        <is>
          <t>...4</t>
        </is>
      </c>
      <c r="C142" s="61" t="inlineStr">
        <is>
          <t>0010</t>
        </is>
      </c>
      <c r="D142" s="60" t="n">
        <v>59386601</v>
      </c>
      <c r="L142" s="61" t="inlineStr">
        <is>
          <t>OUTER BOX, AIR COOL MOD,SD 30"</t>
        </is>
      </c>
      <c r="M142" s="61" t="inlineStr">
        <is>
          <t>C 593866XX R  D</t>
        </is>
      </c>
      <c r="N142" s="60" t="n">
        <v>1</v>
      </c>
      <c r="O142" s="60" t="n"/>
      <c r="P142" s="60" t="inlineStr">
        <is>
          <t>EA</t>
        </is>
      </c>
      <c r="Q142" s="60" t="n">
        <v>4</v>
      </c>
      <c r="R142" s="60" t="inlineStr">
        <is>
          <t>KITM</t>
        </is>
      </c>
      <c r="S142" s="56" t="n"/>
      <c r="T142" s="12" t="n"/>
      <c r="U142" s="12" t="n"/>
      <c r="V142" s="12" t="n"/>
      <c r="W142" s="91">
        <f>IF(AND(LEN(D282)&gt;=6,OR(LEFT(D282,1)="4",LEFT(D282,1)="5"),K282="9DRWM"),"SDRWM","")</f>
        <v/>
      </c>
      <c r="X142" s="2" t="n"/>
    </row>
    <row r="143" hidden="1" ht="12" customFormat="1" customHeight="1" s="42">
      <c r="A143" s="60" t="n"/>
      <c r="B143" s="61" t="inlineStr">
        <is>
          <t>..3</t>
        </is>
      </c>
      <c r="C143" s="61" t="inlineStr">
        <is>
          <t>0040</t>
        </is>
      </c>
      <c r="D143" s="60" t="n">
        <v>585668</v>
      </c>
      <c r="L143" s="61" t="inlineStr">
        <is>
          <t>METRIC AXLE, 10MM DIA</t>
        </is>
      </c>
      <c r="M143" s="61" t="inlineStr">
        <is>
          <t>A 585668   R</t>
        </is>
      </c>
      <c r="N143" s="60" t="n">
        <v>2</v>
      </c>
      <c r="O143" s="60" t="n"/>
      <c r="P143" s="60" t="inlineStr">
        <is>
          <t>EA</t>
        </is>
      </c>
      <c r="Q143" s="60" t="n">
        <v>4</v>
      </c>
      <c r="R143" s="60" t="inlineStr">
        <is>
          <t>KITMS</t>
        </is>
      </c>
      <c r="S143" s="56" t="n"/>
      <c r="T143" s="12" t="n"/>
      <c r="U143" s="12" t="n"/>
      <c r="V143" s="12" t="n"/>
      <c r="W143" s="91">
        <f>IF(AND(LEN(D283)&gt;=6,OR(LEFT(D283,1)="4",LEFT(D283,1)="5"),K283="9DRWM"),"SDRWM","")</f>
        <v/>
      </c>
      <c r="X143" s="2" t="n"/>
    </row>
    <row r="144" hidden="1" ht="12" customFormat="1" customHeight="1" s="42">
      <c r="A144" s="60" t="n"/>
      <c r="B144" s="61" t="inlineStr">
        <is>
          <t>..3</t>
        </is>
      </c>
      <c r="C144" s="61" t="inlineStr">
        <is>
          <t>0050</t>
        </is>
      </c>
      <c r="D144" s="60" t="n">
        <v>597550</v>
      </c>
      <c r="E144" t="n">
        <v>6</v>
      </c>
      <c r="F144" t="n">
        <v>5</v>
      </c>
      <c r="G144" t="inlineStr">
        <is>
          <t>96083</t>
        </is>
      </c>
      <c r="H144" t="inlineStr">
        <is>
          <t>596083</t>
        </is>
      </c>
      <c r="I144" t="n">
        <v>596083</v>
      </c>
      <c r="J144" t="n">
        <v>596083</v>
      </c>
      <c r="K144" t="n">
        <v>596083</v>
      </c>
      <c r="L144" s="61" t="inlineStr">
        <is>
          <t>TOP AXLE,LINAK POWER LIFT,1PCS</t>
        </is>
      </c>
      <c r="M144" s="61" t="inlineStr">
        <is>
          <t>A 597550   R</t>
        </is>
      </c>
      <c r="N144" s="60" t="n">
        <v>2</v>
      </c>
      <c r="O144" s="60" t="n"/>
      <c r="P144" s="60" t="inlineStr">
        <is>
          <t>EA</t>
        </is>
      </c>
      <c r="Q144" s="60" t="n">
        <v>4</v>
      </c>
      <c r="R144" s="60" t="inlineStr">
        <is>
          <t>KITMS</t>
        </is>
      </c>
      <c r="S144" s="56" t="n"/>
      <c r="T144" s="12" t="n"/>
      <c r="U144" s="12" t="n"/>
      <c r="V144" s="12" t="n"/>
      <c r="W144" s="91">
        <f>IF(AND(LEN(D284)&gt;=6,OR(LEFT(D284,1)="4",LEFT(D284,1)="5"),K284="9DRWM"),"SDRWM","")</f>
        <v/>
      </c>
      <c r="X144" s="123" t="inlineStr">
        <is>
          <t>596083</t>
        </is>
      </c>
      <c r="Y144" s="122" t="n"/>
      <c r="Z144" s="122" t="n"/>
    </row>
    <row r="145" hidden="1" ht="12" customFormat="1" customHeight="1" s="42">
      <c r="A145" s="60" t="n"/>
      <c r="B145" s="61" t="inlineStr">
        <is>
          <t>..3</t>
        </is>
      </c>
      <c r="C145" s="61" t="inlineStr">
        <is>
          <t>0060</t>
        </is>
      </c>
      <c r="D145" s="60" t="n">
        <v>597549</v>
      </c>
      <c r="L145" s="61" t="inlineStr">
        <is>
          <t>SPACER,16OD X 12ID X 17LG,1PCS</t>
        </is>
      </c>
      <c r="M145" s="61" t="inlineStr">
        <is>
          <t>A 597549   R</t>
        </is>
      </c>
      <c r="N145" s="60" t="n">
        <v>4</v>
      </c>
      <c r="O145" s="60" t="n"/>
      <c r="P145" s="60" t="inlineStr">
        <is>
          <t>EA</t>
        </is>
      </c>
      <c r="Q145" s="60" t="n">
        <v>4</v>
      </c>
      <c r="R145" s="60" t="inlineStr">
        <is>
          <t>KITMS</t>
        </is>
      </c>
      <c r="S145" s="56" t="n"/>
      <c r="T145" s="12" t="n"/>
      <c r="U145" s="12" t="n"/>
      <c r="V145" s="12" t="n"/>
      <c r="W145" s="91">
        <f>IF(AND(LEN(D285)&gt;=6,OR(LEFT(D285,1)="4",LEFT(D285,1)="5"),K285="9DRWM"),"SDRWM","")</f>
        <v/>
      </c>
      <c r="X145" s="2" t="n"/>
    </row>
    <row r="146" hidden="1" ht="12" customFormat="1" customHeight="1" s="42">
      <c r="A146" s="60" t="n"/>
      <c r="B146" s="61" t="inlineStr">
        <is>
          <t>..3</t>
        </is>
      </c>
      <c r="C146" s="61" t="inlineStr">
        <is>
          <t>0110</t>
        </is>
      </c>
      <c r="D146" s="60" t="n">
        <v>580685</v>
      </c>
      <c r="L146" s="61" t="inlineStr">
        <is>
          <t>C.E. HOOD PLATE</t>
        </is>
      </c>
      <c r="M146" s="61" t="inlineStr">
        <is>
          <t>A 580685   R  A</t>
        </is>
      </c>
      <c r="N146" s="60" t="n">
        <v>1</v>
      </c>
      <c r="O146" s="60" t="n"/>
      <c r="P146" s="60" t="inlineStr">
        <is>
          <t>EA</t>
        </is>
      </c>
      <c r="Q146" s="60" t="n">
        <v>4</v>
      </c>
      <c r="R146" s="60" t="inlineStr">
        <is>
          <t>KITL</t>
        </is>
      </c>
      <c r="S146" s="56" t="n"/>
      <c r="T146" s="12" t="n"/>
      <c r="U146" s="12" t="n"/>
      <c r="V146" s="12" t="n"/>
      <c r="W146" s="91">
        <f>IF(AND(LEN(D291)&gt;=6,OR(LEFT(D291,1)="4",LEFT(D291,1)="5"),K291="9DRWM"),"SDRWM","")</f>
        <v/>
      </c>
      <c r="X146" s="2" t="n"/>
    </row>
    <row r="147" ht="12" customFormat="1" customHeight="1" s="42">
      <c r="A147" s="60" t="n"/>
      <c r="B147" s="61" t="inlineStr">
        <is>
          <t>...4</t>
        </is>
      </c>
      <c r="C147" s="61" t="inlineStr">
        <is>
          <t>0020</t>
        </is>
      </c>
      <c r="D147" s="60" t="n">
        <v>593867</v>
      </c>
      <c r="L147" s="61" t="inlineStr">
        <is>
          <t>INNER BOX, AIR COOL MOD,SD,30"</t>
        </is>
      </c>
      <c r="M147" s="61" t="inlineStr">
        <is>
          <t>C 593867   R</t>
        </is>
      </c>
      <c r="N147" s="60" t="n">
        <v>1</v>
      </c>
      <c r="O147" s="60" t="n"/>
      <c r="P147" s="60" t="inlineStr">
        <is>
          <t>EA</t>
        </is>
      </c>
      <c r="Q147" s="60" t="n">
        <v>4</v>
      </c>
      <c r="R147" s="60" t="inlineStr">
        <is>
          <t>KITM</t>
        </is>
      </c>
      <c r="S147" s="56" t="n"/>
      <c r="T147" s="12" t="n"/>
      <c r="U147" s="12" t="n"/>
      <c r="V147" s="12" t="n"/>
      <c r="W147" s="91">
        <f>IF(AND(LEN(D298)&gt;=6,OR(LEFT(D298,1)="4",LEFT(D298,1)="5"),K298="9DRWM"),"SDRWM","")</f>
        <v/>
      </c>
      <c r="X147" s="2" t="n"/>
    </row>
    <row r="148" ht="12" customFormat="1" customHeight="1" s="42">
      <c r="A148" s="60" t="n"/>
      <c r="B148" s="61" t="inlineStr">
        <is>
          <t>...4</t>
        </is>
      </c>
      <c r="C148" s="61" t="inlineStr">
        <is>
          <t>0030</t>
        </is>
      </c>
      <c r="D148" s="60" t="n">
        <v>593869</v>
      </c>
      <c r="L148" s="61" t="inlineStr">
        <is>
          <t>BAFFLE, AIR COOL BOX, SD, 30"</t>
        </is>
      </c>
      <c r="M148" s="61" t="inlineStr">
        <is>
          <t>A 593869   R</t>
        </is>
      </c>
      <c r="N148" s="60" t="n">
        <v>2</v>
      </c>
      <c r="O148" s="60" t="n"/>
      <c r="P148" s="60" t="inlineStr">
        <is>
          <t>EA</t>
        </is>
      </c>
      <c r="Q148" s="60" t="n">
        <v>4</v>
      </c>
      <c r="R148" s="60" t="inlineStr">
        <is>
          <t>KITM</t>
        </is>
      </c>
      <c r="S148" s="56" t="n"/>
      <c r="T148" s="12" t="n"/>
      <c r="U148" s="12" t="n"/>
      <c r="V148" s="12" t="n"/>
      <c r="W148" s="91">
        <f>IF(AND(LEN(D299)&gt;=6,OR(LEFT(D299,1)="4",LEFT(D299,1)="5"),K299="9DRWM"),"SDRWM","")</f>
        <v/>
      </c>
      <c r="X148" s="2" t="n"/>
    </row>
    <row r="149" hidden="1" ht="12" customFormat="1" customHeight="1" s="42">
      <c r="A149" s="57" t="n"/>
      <c r="B149" s="58" t="inlineStr">
        <is>
          <t>1</t>
        </is>
      </c>
      <c r="C149" s="58" t="inlineStr">
        <is>
          <t>0040</t>
        </is>
      </c>
      <c r="D149" s="57" t="n">
        <v>582211</v>
      </c>
      <c r="L149" s="58" t="inlineStr">
        <is>
          <t>EXIT CONVEYOR MOTOR COMPONENTS</t>
        </is>
      </c>
      <c r="M149" s="58" t="inlineStr">
        <is>
          <t>BM582211   ** E</t>
        </is>
      </c>
      <c r="N149" s="57" t="n">
        <v>1</v>
      </c>
      <c r="O149" s="57" t="n"/>
      <c r="P149" s="57" t="inlineStr">
        <is>
          <t>EA</t>
        </is>
      </c>
      <c r="Q149" s="57" t="n">
        <v>0</v>
      </c>
      <c r="R149" s="57" t="n"/>
      <c r="S149" s="59" t="inlineStr">
        <is>
          <t>NA TO BLANK</t>
        </is>
      </c>
      <c r="T149" s="43" t="n"/>
      <c r="U149" s="43" t="n"/>
      <c r="V149" s="43" t="n"/>
      <c r="W149" s="44">
        <f>IF(AND(LEN(D303)&gt;=6,OR(LEFT(D303,1)="4",LEFT(D303,1)="5"),K303="9DRWM"),"SDRWM","")</f>
        <v/>
      </c>
      <c r="X149" s="2" t="n"/>
    </row>
    <row r="150" hidden="1" ht="12" customFormat="1" customHeight="1" s="42">
      <c r="A150" s="60" t="n"/>
      <c r="B150" s="61" t="inlineStr">
        <is>
          <t>.2</t>
        </is>
      </c>
      <c r="C150" s="61" t="inlineStr">
        <is>
          <t>0110</t>
        </is>
      </c>
      <c r="D150" s="60" t="n">
        <v>5906291</v>
      </c>
      <c r="L150" s="61" t="inlineStr">
        <is>
          <t>CONVEYOR MTR ASSY,15MM 36T</t>
        </is>
      </c>
      <c r="M150" s="61" t="inlineStr">
        <is>
          <t>A 5906291  R</t>
        </is>
      </c>
      <c r="N150" s="60" t="n">
        <v>1</v>
      </c>
      <c r="O150" s="60" t="n"/>
      <c r="P150" s="60" t="inlineStr">
        <is>
          <t>EA</t>
        </is>
      </c>
      <c r="Q150" s="60" t="n">
        <v>9</v>
      </c>
      <c r="R150" s="60" t="inlineStr">
        <is>
          <t>KITHR</t>
        </is>
      </c>
      <c r="S150" s="56" t="inlineStr">
        <is>
          <t>0,9DRWM TO 9,KITHR</t>
        </is>
      </c>
      <c r="T150" s="12" t="n"/>
      <c r="U150" s="12" t="n"/>
      <c r="V150" s="12" t="n"/>
      <c r="W150" s="91">
        <f>IF(AND(LEN(D304)&gt;=6,OR(LEFT(D304,1)="4",LEFT(D304,1)="5"),K304="9DRWM"),"SDRWM","")</f>
        <v/>
      </c>
      <c r="X150" s="2" t="n"/>
    </row>
    <row r="151" hidden="1" ht="12" customFormat="1" customHeight="1" s="42">
      <c r="A151" s="60" t="n"/>
      <c r="B151" s="61" t="inlineStr">
        <is>
          <t>..3</t>
        </is>
      </c>
      <c r="C151" s="61" t="inlineStr">
        <is>
          <t>0010</t>
        </is>
      </c>
      <c r="D151" s="60" t="n">
        <v>583077</v>
      </c>
      <c r="L151" s="61" t="inlineStr">
        <is>
          <t>CONVEYOR MOTOR MTG PLATE</t>
        </is>
      </c>
      <c r="M151" s="61" t="inlineStr">
        <is>
          <t>B 583077   R  F</t>
        </is>
      </c>
      <c r="N151" s="60" t="n">
        <v>1</v>
      </c>
      <c r="O151" s="60" t="n"/>
      <c r="P151" s="60" t="inlineStr">
        <is>
          <t>EA</t>
        </is>
      </c>
      <c r="Q151" s="60" t="n">
        <v>4</v>
      </c>
      <c r="R151" s="60" t="inlineStr">
        <is>
          <t>KITMP</t>
        </is>
      </c>
      <c r="S151" s="56" t="n"/>
      <c r="T151" s="12" t="n"/>
      <c r="U151" s="12" t="n"/>
      <c r="V151" s="12" t="n"/>
      <c r="W151" s="91">
        <f>IF(AND(LEN(D308)&gt;=6,OR(LEFT(D308,1)="4",LEFT(D308,1)="5"),K308="9DRWM"),"SDRWM","")</f>
        <v/>
      </c>
      <c r="X151" s="2" t="n"/>
    </row>
    <row r="152" hidden="1" ht="12" customFormat="1" customHeight="1" s="42">
      <c r="A152" s="60" t="n"/>
      <c r="B152" s="61" t="inlineStr">
        <is>
          <t>..3</t>
        </is>
      </c>
      <c r="C152" s="61" t="inlineStr">
        <is>
          <t>0110</t>
        </is>
      </c>
      <c r="D152" s="60" t="n">
        <v>5905979</v>
      </c>
      <c r="L152" s="61" t="inlineStr">
        <is>
          <t>SPROCKET 35B36T 3/8P 15MM BORE</t>
        </is>
      </c>
      <c r="M152" s="61" t="inlineStr">
        <is>
          <t>A 5905979  R</t>
        </is>
      </c>
      <c r="N152" s="60" t="n">
        <v>1</v>
      </c>
      <c r="O152" s="60" t="n"/>
      <c r="P152" s="60" t="inlineStr">
        <is>
          <t>EA</t>
        </is>
      </c>
      <c r="Q152" s="60" t="n">
        <v>4</v>
      </c>
      <c r="R152" s="60" t="inlineStr">
        <is>
          <t>KITMP</t>
        </is>
      </c>
      <c r="S152" s="56" t="n"/>
      <c r="T152" s="12" t="n"/>
      <c r="U152" s="12" t="n"/>
      <c r="V152" s="12" t="n"/>
      <c r="W152" s="91">
        <f>IF(AND(LEN(D315)&gt;=6,OR(LEFT(D315,1)="4",LEFT(D315,1)="5"),K315="9DRWM"),"SDRWM","")</f>
        <v/>
      </c>
      <c r="X152" s="2" t="n"/>
    </row>
    <row r="153" hidden="1" ht="12" customFormat="1" customHeight="1" s="42">
      <c r="A153" s="60" t="n"/>
      <c r="B153" s="61" t="inlineStr">
        <is>
          <t>.2</t>
        </is>
      </c>
      <c r="C153" s="61" t="inlineStr">
        <is>
          <t>0250</t>
        </is>
      </c>
      <c r="D153" s="60" t="n">
        <v>5903749</v>
      </c>
      <c r="L153" s="61" t="inlineStr">
        <is>
          <t>ALSTRON CTRL KIT, CONVEYOR</t>
        </is>
      </c>
      <c r="M153" s="61" t="inlineStr">
        <is>
          <t>BM5903749  R</t>
        </is>
      </c>
      <c r="N153" s="60" t="n">
        <v>1</v>
      </c>
      <c r="O153" s="60" t="n"/>
      <c r="P153" s="60" t="inlineStr">
        <is>
          <t>EA</t>
        </is>
      </c>
      <c r="Q153" s="60" t="n">
        <v>0</v>
      </c>
      <c r="R153" s="60" t="n"/>
      <c r="S153" s="56" t="n"/>
      <c r="T153" s="12" t="n"/>
      <c r="U153" s="12" t="n"/>
      <c r="V153" s="12" t="n"/>
      <c r="W153" s="91">
        <f>IF(AND(LEN(D324)&gt;=6,OR(LEFT(D324,1)="4",LEFT(D324,1)="5"),K324="9DRWM"),"SDRWM","")</f>
        <v/>
      </c>
      <c r="X153" s="2" t="n"/>
    </row>
    <row r="154" hidden="1" ht="12" customFormat="1" customHeight="1" s="42">
      <c r="A154" s="57" t="n"/>
      <c r="B154" s="58" t="inlineStr">
        <is>
          <t>1</t>
        </is>
      </c>
      <c r="C154" s="58" t="inlineStr">
        <is>
          <t>0050</t>
        </is>
      </c>
      <c r="D154" s="57" t="n">
        <v>596925</v>
      </c>
      <c r="L154" s="58" t="inlineStr">
        <is>
          <t>FINAL PREP/SHIP ASSY,1809MK5</t>
        </is>
      </c>
      <c r="M154" s="58" t="inlineStr">
        <is>
          <t>BM596925   R  G</t>
        </is>
      </c>
      <c r="N154" s="57" t="n">
        <v>1</v>
      </c>
      <c r="O154" s="57" t="n"/>
      <c r="P154" s="57" t="inlineStr">
        <is>
          <t>EA</t>
        </is>
      </c>
      <c r="Q154" s="57" t="n">
        <v>0</v>
      </c>
      <c r="R154" s="57" t="n"/>
      <c r="S154" s="59" t="n"/>
      <c r="T154" s="43" t="n"/>
      <c r="U154" s="43" t="n"/>
      <c r="V154" s="43" t="n"/>
      <c r="W154" s="44">
        <f>IF(AND(LEN(D329)&gt;=6,OR(LEFT(D329,1)="4",LEFT(D329,1)="5"),K329="9DRWM"),"SDRWM","")</f>
        <v/>
      </c>
      <c r="X154" s="2" t="n"/>
    </row>
    <row r="155" ht="12" customFormat="1" customHeight="1" s="42">
      <c r="A155" s="60" t="n"/>
      <c r="B155" s="61" t="inlineStr">
        <is>
          <t>...4</t>
        </is>
      </c>
      <c r="C155" s="61" t="inlineStr">
        <is>
          <t>0040</t>
        </is>
      </c>
      <c r="D155" s="60" t="n">
        <v>593870</v>
      </c>
      <c r="L155" s="61" t="inlineStr">
        <is>
          <t>GRILL, AIR COOL MOD, SD, 30"</t>
        </is>
      </c>
      <c r="M155" s="61" t="inlineStr">
        <is>
          <t>C 593870   R  A</t>
        </is>
      </c>
      <c r="N155" s="60" t="n">
        <v>1</v>
      </c>
      <c r="O155" s="60" t="n"/>
      <c r="P155" s="60" t="inlineStr">
        <is>
          <t>EA</t>
        </is>
      </c>
      <c r="Q155" s="60" t="n">
        <v>4</v>
      </c>
      <c r="R155" s="60" t="inlineStr">
        <is>
          <t>KITM</t>
        </is>
      </c>
      <c r="S155" s="56" t="n"/>
      <c r="T155" s="12" t="n"/>
      <c r="U155" s="12" t="n"/>
      <c r="V155" s="12" t="n"/>
      <c r="W155" s="91">
        <f>IF(AND(LEN(D332)&gt;=6,OR(LEFT(D332,1)="4",LEFT(D332,1)="5"),K332="9DRWM"),"SDRWM","")</f>
        <v/>
      </c>
      <c r="X155" s="2" t="n"/>
    </row>
    <row r="156" hidden="1" ht="12" customFormat="1" customHeight="1" s="42">
      <c r="A156" s="60" t="n"/>
      <c r="B156" s="61" t="inlineStr">
        <is>
          <t>.2</t>
        </is>
      </c>
      <c r="C156" s="61" t="inlineStr">
        <is>
          <t>0010</t>
        </is>
      </c>
      <c r="D156" s="60" t="n">
        <v>58111402</v>
      </c>
      <c r="L156" s="61" t="inlineStr">
        <is>
          <t>VINYL APLIQUE (1800W) 146.62</t>
        </is>
      </c>
      <c r="M156" s="61" t="inlineStr">
        <is>
          <t>A 581114XX R  D</t>
        </is>
      </c>
      <c r="N156" s="60" t="n">
        <v>1</v>
      </c>
      <c r="O156" s="60" t="n"/>
      <c r="P156" s="60" t="inlineStr">
        <is>
          <t>EA</t>
        </is>
      </c>
      <c r="Q156" s="60" t="n">
        <v>4</v>
      </c>
      <c r="R156" s="60" t="inlineStr">
        <is>
          <t>KITL</t>
        </is>
      </c>
      <c r="S156" s="56" t="n"/>
      <c r="T156" s="12" t="n"/>
      <c r="U156" s="12" t="n"/>
      <c r="V156" s="12" t="n"/>
      <c r="W156" s="91">
        <f>IF(AND(LEN(D333)&gt;=6,OR(LEFT(D333,1)="4",LEFT(D333,1)="5"),K333="9DRWM"),"SDRWM","")</f>
        <v/>
      </c>
    </row>
    <row r="157" hidden="1" ht="12" customFormat="1" customHeight="1" s="42">
      <c r="A157" s="60" t="n"/>
      <c r="B157" s="61" t="inlineStr">
        <is>
          <t>.2</t>
        </is>
      </c>
      <c r="C157" s="61" t="inlineStr">
        <is>
          <t>0020</t>
        </is>
      </c>
      <c r="D157" s="60" t="n">
        <v>589680</v>
      </c>
      <c r="L157" s="61" t="inlineStr">
        <is>
          <t>HELLER LOGO DECAL, MK3</t>
        </is>
      </c>
      <c r="M157" s="61" t="inlineStr">
        <is>
          <t>B 589680   R  B</t>
        </is>
      </c>
      <c r="N157" s="60" t="n">
        <v>1</v>
      </c>
      <c r="O157" s="60" t="n"/>
      <c r="P157" s="60" t="inlineStr">
        <is>
          <t>EA</t>
        </is>
      </c>
      <c r="Q157" s="60" t="n">
        <v>4</v>
      </c>
      <c r="R157" s="60" t="inlineStr">
        <is>
          <t>KITL</t>
        </is>
      </c>
      <c r="S157" s="56" t="n"/>
      <c r="T157" s="12" t="n"/>
      <c r="U157" s="12" t="n"/>
      <c r="V157" s="12" t="n"/>
      <c r="W157" s="91">
        <f>IF(AND(LEN(D334)&gt;=6,OR(LEFT(D334,1)="4",LEFT(D334,1)="5"),K334="9DRWM"),"SDRWM","")</f>
        <v/>
      </c>
      <c r="X157" s="2" t="n"/>
    </row>
    <row r="158" hidden="1" ht="12" customFormat="1" customHeight="1" s="42">
      <c r="A158" s="60" t="n"/>
      <c r="B158" s="61" t="inlineStr">
        <is>
          <t>.2</t>
        </is>
      </c>
      <c r="C158" s="61" t="inlineStr">
        <is>
          <t>0030</t>
        </is>
      </c>
      <c r="D158" s="60" t="n">
        <v>4112172</v>
      </c>
      <c r="L158" s="61" t="inlineStr">
        <is>
          <t>DECAL 1810MK5</t>
        </is>
      </c>
      <c r="M158" s="61" t="inlineStr">
        <is>
          <t>B 4112172  R 01</t>
        </is>
      </c>
      <c r="N158" s="60" t="n">
        <v>1</v>
      </c>
      <c r="O158" s="60" t="n"/>
      <c r="P158" s="60" t="inlineStr">
        <is>
          <t>EA</t>
        </is>
      </c>
      <c r="Q158" s="60" t="n">
        <v>4</v>
      </c>
      <c r="R158" s="60" t="inlineStr">
        <is>
          <t>KITL</t>
        </is>
      </c>
      <c r="S158" s="56" t="n"/>
      <c r="T158" s="12" t="n"/>
      <c r="U158" s="12" t="n"/>
      <c r="V158" s="12" t="n"/>
      <c r="W158" s="91">
        <f>IF(AND(LEN(D335)&gt;=6,OR(LEFT(D335,1)="4",LEFT(D335,1)="5"),K335="9DRWM"),"SDRWM","")</f>
        <v/>
      </c>
      <c r="X158" s="2" t="n"/>
    </row>
    <row r="159" ht="12" customFormat="1" customHeight="1" s="42">
      <c r="A159" s="60" t="n"/>
      <c r="B159" s="61" t="inlineStr">
        <is>
          <t>..3</t>
        </is>
      </c>
      <c r="C159" s="61" t="inlineStr">
        <is>
          <t>0020</t>
        </is>
      </c>
      <c r="D159" s="60" t="n">
        <v>593872</v>
      </c>
      <c r="L159" s="61" t="inlineStr">
        <is>
          <t>SHELL, EXTERNAL COOL AIR, MK5</t>
        </is>
      </c>
      <c r="M159" s="61" t="inlineStr">
        <is>
          <t>D 593872   R  C</t>
        </is>
      </c>
      <c r="N159" s="60" t="n">
        <v>1</v>
      </c>
      <c r="O159" s="60" t="n"/>
      <c r="P159" s="60" t="inlineStr">
        <is>
          <t>EA</t>
        </is>
      </c>
      <c r="Q159" s="60" t="n">
        <v>4</v>
      </c>
      <c r="R159" s="60" t="inlineStr">
        <is>
          <t>KITM</t>
        </is>
      </c>
      <c r="S159" s="56" t="n"/>
      <c r="T159" s="12" t="n"/>
      <c r="U159" s="12" t="n"/>
      <c r="V159" s="12" t="n"/>
      <c r="W159" s="91">
        <f>IF(AND(LEN(D336)&gt;=6,OR(LEFT(D336,1)="4",LEFT(D336,1)="5"),K336="9DRWM"),"SDRWM","")</f>
        <v/>
      </c>
      <c r="X159" s="2" t="n"/>
    </row>
    <row r="160" hidden="1" ht="12" customFormat="1" customHeight="1" s="42">
      <c r="A160" s="60" t="n"/>
      <c r="B160" s="61" t="inlineStr">
        <is>
          <t>.2</t>
        </is>
      </c>
      <c r="C160" s="61" t="inlineStr">
        <is>
          <t>0050</t>
        </is>
      </c>
      <c r="D160" s="60" t="n">
        <v>580232</v>
      </c>
      <c r="L160" s="61" t="inlineStr">
        <is>
          <t>PROFILE LABEL (5 POS.)</t>
        </is>
      </c>
      <c r="M160" s="61" t="inlineStr">
        <is>
          <t>A 580232   R  C</t>
        </is>
      </c>
      <c r="N160" s="60" t="n">
        <v>1</v>
      </c>
      <c r="O160" s="60" t="n"/>
      <c r="P160" s="60" t="inlineStr">
        <is>
          <t>EA</t>
        </is>
      </c>
      <c r="Q160" s="60" t="n">
        <v>4</v>
      </c>
      <c r="R160" s="60" t="inlineStr">
        <is>
          <t>KITL</t>
        </is>
      </c>
      <c r="S160" s="56" t="n"/>
      <c r="T160" s="12" t="n"/>
      <c r="U160" s="12" t="n"/>
      <c r="V160" s="12" t="n"/>
      <c r="W160" s="91">
        <f>IF(AND(LEN(D337)&gt;=6,OR(LEFT(D337,1)="4",LEFT(D337,1)="5"),K337="9DRWM"),"SDRWM","")</f>
        <v/>
      </c>
    </row>
    <row r="161" hidden="1" ht="12" customFormat="1" customHeight="1" s="42">
      <c r="A161" s="60" t="n"/>
      <c r="B161" s="61" t="inlineStr">
        <is>
          <t>.2</t>
        </is>
      </c>
      <c r="C161" s="61" t="inlineStr">
        <is>
          <t>0060</t>
        </is>
      </c>
      <c r="D161" s="60" t="n">
        <v>584477</v>
      </c>
      <c r="L161" s="61" t="inlineStr">
        <is>
          <t>VAPOR WARNING LABEL</t>
        </is>
      </c>
      <c r="M161" s="61" t="inlineStr">
        <is>
          <t>A 584477   R  E</t>
        </is>
      </c>
      <c r="N161" s="60" t="n">
        <v>1</v>
      </c>
      <c r="O161" s="60" t="n"/>
      <c r="P161" s="60" t="inlineStr">
        <is>
          <t>EA</t>
        </is>
      </c>
      <c r="Q161" s="60" t="n">
        <v>4</v>
      </c>
      <c r="R161" s="60" t="inlineStr">
        <is>
          <t>KITL</t>
        </is>
      </c>
      <c r="S161" s="56" t="n"/>
      <c r="T161" s="12" t="n"/>
      <c r="U161" s="12" t="n"/>
      <c r="V161" s="12" t="n"/>
      <c r="W161" s="91">
        <f>IF(AND(LEN(D338)&gt;=6,OR(LEFT(D338,1)="4",LEFT(D338,1)="5"),K338="9DRWM"),"SDRWM","")</f>
        <v/>
      </c>
    </row>
    <row r="162" hidden="1" ht="12" customFormat="1" customHeight="1" s="42">
      <c r="A162" s="60" t="n"/>
      <c r="B162" s="61" t="inlineStr">
        <is>
          <t>.2</t>
        </is>
      </c>
      <c r="C162" s="61" t="inlineStr">
        <is>
          <t>0065</t>
        </is>
      </c>
      <c r="D162" s="60" t="n">
        <v>5903959</v>
      </c>
      <c r="L162" s="61" t="inlineStr">
        <is>
          <t>WARNING PLACARD,FORKLIFT</t>
        </is>
      </c>
      <c r="M162" s="61" t="inlineStr">
        <is>
          <t>A 5903959  R</t>
        </is>
      </c>
      <c r="N162" s="60" t="n">
        <v>4</v>
      </c>
      <c r="O162" s="60" t="n"/>
      <c r="P162" s="60" t="inlineStr">
        <is>
          <t>EA</t>
        </is>
      </c>
      <c r="Q162" s="60" t="n">
        <v>4</v>
      </c>
      <c r="R162" s="60" t="inlineStr">
        <is>
          <t>KITL</t>
        </is>
      </c>
      <c r="S162" s="56" t="n"/>
      <c r="T162" s="12" t="n"/>
      <c r="U162" s="12" t="n"/>
      <c r="V162" s="12" t="n"/>
      <c r="W162" s="91">
        <f>IF(AND(LEN(D339)&gt;=6,OR(LEFT(D339,1)="4",LEFT(D339,1)="5"),K339="9DRWM"),"SDRWM","")</f>
        <v/>
      </c>
    </row>
    <row r="163" hidden="1" ht="12" customFormat="1" customHeight="1" s="42">
      <c r="A163" s="60" t="n"/>
      <c r="B163" s="61" t="inlineStr">
        <is>
          <t>.2</t>
        </is>
      </c>
      <c r="C163" s="61" t="inlineStr">
        <is>
          <t>0070</t>
        </is>
      </c>
      <c r="D163" s="60" t="n">
        <v>572979</v>
      </c>
      <c r="L163" s="61" t="inlineStr">
        <is>
          <t>RESET SWITCH PLATE</t>
        </is>
      </c>
      <c r="M163" s="61" t="inlineStr">
        <is>
          <t>A 672979   R  B</t>
        </is>
      </c>
      <c r="N163" s="60" t="n">
        <v>1</v>
      </c>
      <c r="O163" s="60" t="n"/>
      <c r="P163" s="60" t="inlineStr">
        <is>
          <t>EA</t>
        </is>
      </c>
      <c r="Q163" s="60" t="n">
        <v>4</v>
      </c>
      <c r="R163" s="60" t="inlineStr">
        <is>
          <t>KITL</t>
        </is>
      </c>
      <c r="S163" s="56" t="n"/>
      <c r="T163" s="12" t="n"/>
      <c r="U163" s="12" t="n"/>
      <c r="V163" s="12" t="n"/>
      <c r="W163" s="91">
        <f>IF(AND(LEN(D340)&gt;=6,OR(LEFT(D340,1)="4",LEFT(D340,1)="5"),K340="9DRWM"),"SDRWM","")</f>
        <v/>
      </c>
    </row>
    <row r="164" hidden="1" ht="12" customFormat="1" customHeight="1" s="42">
      <c r="A164" s="60" t="n"/>
      <c r="B164" s="61" t="inlineStr">
        <is>
          <t>.2</t>
        </is>
      </c>
      <c r="C164" s="61" t="inlineStr">
        <is>
          <t>0080</t>
        </is>
      </c>
      <c r="D164" s="60" t="n">
        <v>572543</v>
      </c>
      <c r="E164" t="n">
        <v>6</v>
      </c>
      <c r="F164" t="n">
        <v>5</v>
      </c>
      <c r="G164" t="inlineStr">
        <is>
          <t>96264</t>
        </is>
      </c>
      <c r="H164" t="inlineStr">
        <is>
          <t>596264</t>
        </is>
      </c>
      <c r="I164" t="n">
        <v>596264</v>
      </c>
      <c r="J164" t="n">
        <v>596264</v>
      </c>
      <c r="K164" t="n">
        <v>596264</v>
      </c>
      <c r="L164" s="61" t="inlineStr">
        <is>
          <t>SERIAL TAG</t>
        </is>
      </c>
      <c r="M164" s="61" t="inlineStr">
        <is>
          <t>A 672543   R</t>
        </is>
      </c>
      <c r="N164" s="60" t="n">
        <v>1</v>
      </c>
      <c r="O164" s="60" t="n"/>
      <c r="P164" s="60" t="inlineStr">
        <is>
          <t>EA</t>
        </is>
      </c>
      <c r="Q164" s="60" t="n">
        <v>4</v>
      </c>
      <c r="R164" s="60" t="inlineStr">
        <is>
          <t>KITL</t>
        </is>
      </c>
      <c r="S164" s="56" t="n"/>
      <c r="T164" s="12" t="n"/>
      <c r="U164" s="12" t="n"/>
      <c r="V164" s="12" t="n"/>
      <c r="W164" s="91">
        <f>IF(AND(LEN(D341)&gt;=6,OR(LEFT(D341,1)="4",LEFT(D341,1)="5"),K341="9DRWM"),"SDRWM","")</f>
        <v/>
      </c>
      <c r="X164" s="122" t="inlineStr">
        <is>
          <t>596264</t>
        </is>
      </c>
      <c r="Y164" s="122" t="n"/>
      <c r="Z164" s="122" t="n"/>
    </row>
    <row r="165" ht="12" customFormat="1" customHeight="1" s="42">
      <c r="A165" s="60" t="n"/>
      <c r="B165" s="61" t="inlineStr">
        <is>
          <t>..3</t>
        </is>
      </c>
      <c r="C165" s="61" t="inlineStr">
        <is>
          <t>0002</t>
        </is>
      </c>
      <c r="D165" s="60" t="n">
        <v>594343</v>
      </c>
      <c r="L165" s="61" t="inlineStr">
        <is>
          <t>EATON BBU WIRING DIAGRAM</t>
        </is>
      </c>
      <c r="M165" s="61" t="inlineStr">
        <is>
          <t>B 594343   R  A</t>
        </is>
      </c>
      <c r="N165" s="60" t="n">
        <v>1</v>
      </c>
      <c r="O165" s="60" t="n"/>
      <c r="P165" s="60" t="inlineStr">
        <is>
          <t>RF</t>
        </is>
      </c>
      <c r="Q165" s="60" t="n">
        <v>9</v>
      </c>
      <c r="R165" s="60" t="inlineStr">
        <is>
          <t>9DRWM</t>
        </is>
      </c>
      <c r="S165" s="56" t="n"/>
      <c r="T165" s="12" t="n"/>
      <c r="U165" s="12" t="n"/>
      <c r="V165" s="12" t="n"/>
      <c r="W165" s="91">
        <f>IF(AND(LEN(D343)&gt;=6,OR(LEFT(D343,1)="4",LEFT(D343,1)="5"),K343="9DRWM"),"SDRWM","")</f>
        <v/>
      </c>
    </row>
    <row r="166" hidden="1" ht="12" customFormat="1" customHeight="1" s="42">
      <c r="A166" s="60" t="n"/>
      <c r="B166" s="61" t="inlineStr">
        <is>
          <t>.2</t>
        </is>
      </c>
      <c r="C166" s="61" t="inlineStr">
        <is>
          <t>0095</t>
        </is>
      </c>
      <c r="D166" s="60" t="n">
        <v>594341</v>
      </c>
      <c r="L166" s="61" t="inlineStr">
        <is>
          <t>LABEL,SERVICE INFO</t>
        </is>
      </c>
      <c r="M166" s="61" t="inlineStr">
        <is>
          <t>B 594341   R  D</t>
        </is>
      </c>
      <c r="N166" s="60" t="n">
        <v>1</v>
      </c>
      <c r="O166" s="60" t="n"/>
      <c r="P166" s="60" t="inlineStr">
        <is>
          <t>EA</t>
        </is>
      </c>
      <c r="Q166" s="60" t="n">
        <v>4</v>
      </c>
      <c r="R166" s="60" t="inlineStr">
        <is>
          <t>KITL</t>
        </is>
      </c>
      <c r="S166" s="56" t="n"/>
      <c r="T166" s="12" t="n"/>
      <c r="U166" s="12" t="n"/>
      <c r="V166" s="12" t="n"/>
      <c r="W166" s="91">
        <f>IF(AND(LEN(D344)&gt;=6,OR(LEFT(D344,1)="4",LEFT(D344,1)="5"),K344="9DRWM"),"SDRWM","")</f>
        <v/>
      </c>
    </row>
    <row r="167" hidden="1" ht="12" customFormat="1" customHeight="1" s="42">
      <c r="A167" s="60" t="n"/>
      <c r="B167" s="61" t="inlineStr">
        <is>
          <t>.2</t>
        </is>
      </c>
      <c r="C167" s="61" t="inlineStr">
        <is>
          <t>0100</t>
        </is>
      </c>
      <c r="D167" s="60" t="n">
        <v>572585</v>
      </c>
      <c r="L167" s="61" t="inlineStr">
        <is>
          <t>ELECTRICAL WARNING LABEL</t>
        </is>
      </c>
      <c r="M167" s="61" t="inlineStr">
        <is>
          <t>A672585    R  A</t>
        </is>
      </c>
      <c r="N167" s="60" t="n">
        <v>12</v>
      </c>
      <c r="O167" s="60" t="n"/>
      <c r="P167" s="60" t="inlineStr">
        <is>
          <t>EA</t>
        </is>
      </c>
      <c r="Q167" s="60" t="n">
        <v>4</v>
      </c>
      <c r="R167" s="60" t="inlineStr">
        <is>
          <t>KITL</t>
        </is>
      </c>
      <c r="S167" s="56" t="n"/>
      <c r="T167" s="12" t="n"/>
      <c r="U167" s="12" t="n"/>
      <c r="V167" s="12" t="n"/>
      <c r="W167" s="91">
        <f>IF(AND(LEN(D345)&gt;=6,OR(LEFT(D345,1)="4",LEFT(D345,1)="5"),K345="9DRWM"),"SDRWM","")</f>
        <v/>
      </c>
    </row>
    <row r="168" hidden="1" ht="12" customFormat="1" customHeight="1" s="42">
      <c r="A168" s="60" t="n"/>
      <c r="B168" s="61" t="inlineStr">
        <is>
          <t>.2</t>
        </is>
      </c>
      <c r="C168" s="61" t="inlineStr">
        <is>
          <t>0110</t>
        </is>
      </c>
      <c r="D168" s="60" t="n">
        <v>587241</v>
      </c>
      <c r="L168" s="61" t="inlineStr">
        <is>
          <t>LABEL, LEAD FREE APPROVED</t>
        </is>
      </c>
      <c r="M168" s="61" t="inlineStr">
        <is>
          <t>B 587241   R  A</t>
        </is>
      </c>
      <c r="N168" s="60" t="n">
        <v>1</v>
      </c>
      <c r="O168" s="60" t="n"/>
      <c r="P168" s="60" t="inlineStr">
        <is>
          <t>EA</t>
        </is>
      </c>
      <c r="Q168" s="60" t="n">
        <v>4</v>
      </c>
      <c r="R168" s="60" t="inlineStr">
        <is>
          <t>KITL</t>
        </is>
      </c>
      <c r="S168" s="56" t="n"/>
      <c r="T168" s="12" t="n"/>
      <c r="U168" s="12" t="n"/>
      <c r="V168" s="12" t="n"/>
      <c r="W168" s="91">
        <f>IF(AND(LEN(D346)&gt;=6,OR(LEFT(D346,1)="4",LEFT(D346,1)="5"),K346="9DRWM"),"SDRWM","")</f>
        <v/>
      </c>
    </row>
    <row r="169" hidden="1" ht="12" customFormat="1" customHeight="1" s="42">
      <c r="A169" s="60" t="n"/>
      <c r="B169" s="61" t="inlineStr">
        <is>
          <t>.2</t>
        </is>
      </c>
      <c r="C169" s="61" t="inlineStr">
        <is>
          <t>0170</t>
        </is>
      </c>
      <c r="D169" s="60" t="n">
        <v>57017605</v>
      </c>
      <c r="E169" t="n">
        <v>6</v>
      </c>
      <c r="F169" t="n">
        <v>5</v>
      </c>
      <c r="G169" t="inlineStr">
        <is>
          <t>96283</t>
        </is>
      </c>
      <c r="H169" t="inlineStr">
        <is>
          <t>596283</t>
        </is>
      </c>
      <c r="I169" t="n">
        <v>596283</v>
      </c>
      <c r="J169" t="n">
        <v>596283</v>
      </c>
      <c r="K169" t="n">
        <v>596283</v>
      </c>
      <c r="L169" s="61" t="inlineStr">
        <is>
          <t>TYPE K T/C ASSY 1700D</t>
        </is>
      </c>
      <c r="M169" s="61" t="inlineStr">
        <is>
          <t>A 670176XX ** F</t>
        </is>
      </c>
      <c r="N169" s="60" t="n">
        <v>5</v>
      </c>
      <c r="O169" s="60" t="n"/>
      <c r="P169" s="60" t="inlineStr">
        <is>
          <t>EA</t>
        </is>
      </c>
      <c r="Q169" s="60" t="n">
        <v>9</v>
      </c>
      <c r="R169" s="60" t="inlineStr">
        <is>
          <t>BNRML</t>
        </is>
      </c>
      <c r="S169" s="56" t="n"/>
      <c r="T169" s="12" t="n"/>
      <c r="U169" s="12" t="n"/>
      <c r="V169" s="12" t="n"/>
      <c r="W169" s="91">
        <f>IF(AND(LEN(D352)&gt;=6,OR(LEFT(D352,1)="4",LEFT(D352,1)="5"),K352="9DRWM"),"SDRWM","")</f>
        <v/>
      </c>
      <c r="X169" s="123" t="inlineStr">
        <is>
          <t>596283</t>
        </is>
      </c>
      <c r="Y169" s="122" t="n"/>
      <c r="Z169" s="122" t="n"/>
    </row>
    <row r="170" ht="12" customFormat="1" customHeight="1" s="42">
      <c r="A170" s="60" t="n"/>
      <c r="B170" s="61" t="inlineStr">
        <is>
          <t>..3</t>
        </is>
      </c>
      <c r="C170" s="61" t="inlineStr">
        <is>
          <t>0040</t>
        </is>
      </c>
      <c r="D170" s="60" t="n">
        <v>594344</v>
      </c>
      <c r="L170" s="61" t="inlineStr">
        <is>
          <t>STRAP, 233MM BBU MOUNTING</t>
        </is>
      </c>
      <c r="M170" s="61" t="inlineStr">
        <is>
          <t>B 594344   R  A</t>
        </is>
      </c>
      <c r="N170" s="60" t="n">
        <v>1</v>
      </c>
      <c r="O170" s="60" t="n"/>
      <c r="P170" s="60" t="inlineStr">
        <is>
          <t>EA</t>
        </is>
      </c>
      <c r="Q170" s="60" t="n">
        <v>4</v>
      </c>
      <c r="R170" s="60" t="inlineStr">
        <is>
          <t>KITM</t>
        </is>
      </c>
      <c r="S170" s="56" t="n"/>
      <c r="T170" s="12" t="n"/>
      <c r="U170" s="12" t="n"/>
      <c r="V170" s="12" t="n"/>
      <c r="W170" s="91">
        <f>IF(AND(LEN(D355)&gt;=6,OR(LEFT(D355,1)="4",LEFT(D355,1)="5"),K355="9DRWM"),"SDRWM","")</f>
        <v/>
      </c>
      <c r="X170" s="2" t="n"/>
    </row>
    <row r="171" ht="12" customFormat="1" customHeight="1" s="46">
      <c r="A171" s="60" t="n"/>
      <c r="B171" s="61" t="inlineStr">
        <is>
          <t>..3</t>
        </is>
      </c>
      <c r="C171" s="61" t="inlineStr">
        <is>
          <t>0080</t>
        </is>
      </c>
      <c r="D171" s="60" t="n">
        <v>594433</v>
      </c>
      <c r="L171" s="61" t="inlineStr">
        <is>
          <t>EH/CBS MTR ASY IN/OUT,15MM BOR</t>
        </is>
      </c>
      <c r="M171" s="61" t="inlineStr">
        <is>
          <t>A 594433   ** A</t>
        </is>
      </c>
      <c r="N171" s="60" t="n">
        <v>1</v>
      </c>
      <c r="O171" s="60" t="n"/>
      <c r="P171" s="60" t="inlineStr">
        <is>
          <t>EA</t>
        </is>
      </c>
      <c r="Q171" s="60" t="n">
        <v>9</v>
      </c>
      <c r="R171" s="60" t="inlineStr">
        <is>
          <t>9DRWM</t>
        </is>
      </c>
      <c r="S171" s="56" t="n"/>
      <c r="T171" s="12" t="n"/>
      <c r="U171" s="12" t="n"/>
      <c r="V171" s="12" t="n"/>
      <c r="W171" s="91">
        <f>IF(AND(LEN(D356)&gt;=6,OR(LEFT(D356,1)="4",LEFT(D356,1)="5"),K356="9DRWM"),"SDRWM","")</f>
        <v/>
      </c>
      <c r="X171" s="2" t="n"/>
    </row>
    <row r="172" hidden="1" ht="12" customFormat="1" customHeight="1" s="46">
      <c r="A172" s="60" t="n"/>
      <c r="B172" s="61" t="inlineStr">
        <is>
          <t>.2</t>
        </is>
      </c>
      <c r="C172" s="61" t="inlineStr">
        <is>
          <t>0235</t>
        </is>
      </c>
      <c r="D172" s="60" t="n">
        <v>107083</v>
      </c>
      <c r="L172" s="61" t="inlineStr">
        <is>
          <t>TILT WATCH LABEL,KEEP UPRIGHT</t>
        </is>
      </c>
      <c r="M172" s="61" t="inlineStr">
        <is>
          <t>A 107083   R</t>
        </is>
      </c>
      <c r="N172" s="60" t="n">
        <v>2</v>
      </c>
      <c r="O172" s="60" t="n"/>
      <c r="P172" s="60" t="inlineStr">
        <is>
          <t>EA</t>
        </is>
      </c>
      <c r="Q172" s="60" t="n">
        <v>4</v>
      </c>
      <c r="R172" s="60" t="inlineStr">
        <is>
          <t>KITHR</t>
        </is>
      </c>
      <c r="S172" s="56" t="n"/>
      <c r="T172" s="12" t="n"/>
      <c r="U172" s="12" t="n"/>
      <c r="V172" s="12" t="n"/>
      <c r="W172" s="91">
        <f>IF(AND(LEN(D361)&gt;=6,OR(LEFT(D361,1)="4",LEFT(D361,1)="5"),K361="9DRWM"),"SDRWM","")</f>
        <v/>
      </c>
      <c r="X172" s="2" t="n"/>
    </row>
    <row r="173" hidden="1" ht="12" customFormat="1" customHeight="1" s="46">
      <c r="A173" s="60" t="n"/>
      <c r="B173" s="61" t="inlineStr">
        <is>
          <t>.2</t>
        </is>
      </c>
      <c r="C173" s="61" t="inlineStr">
        <is>
          <t>0270</t>
        </is>
      </c>
      <c r="D173" s="60" t="n">
        <v>5901150</v>
      </c>
      <c r="L173" s="61" t="inlineStr">
        <is>
          <t>HC6-AIO/HDIO POWER FUSE, 2A</t>
        </is>
      </c>
      <c r="M173" s="61" t="inlineStr">
        <is>
          <t>CP5901150  R</t>
        </is>
      </c>
      <c r="N173" s="60" t="n">
        <v>2</v>
      </c>
      <c r="O173" s="60" t="n"/>
      <c r="P173" s="60" t="inlineStr">
        <is>
          <t>EA</t>
        </is>
      </c>
      <c r="Q173" s="60" t="n">
        <v>4</v>
      </c>
      <c r="R173" s="60" t="inlineStr">
        <is>
          <t>BNRML</t>
        </is>
      </c>
      <c r="S173" s="56" t="n"/>
      <c r="T173" s="12" t="n"/>
      <c r="U173" s="12" t="n"/>
      <c r="V173" s="12" t="n"/>
      <c r="W173" s="91">
        <f>IF(AND(LEN(D364)&gt;=6,OR(LEFT(D364,1)="4",LEFT(D364,1)="5"),K364="9DRWM"),"SDRWM","")</f>
        <v/>
      </c>
      <c r="X173" s="2" t="n"/>
    </row>
    <row r="174" hidden="1" ht="12" customFormat="1" customHeight="1" s="41">
      <c r="A174" s="60" t="n"/>
      <c r="B174" s="61" t="inlineStr">
        <is>
          <t>.2</t>
        </is>
      </c>
      <c r="C174" s="61" t="inlineStr">
        <is>
          <t>0060</t>
        </is>
      </c>
      <c r="D174" s="60" t="n">
        <v>590619306</v>
      </c>
      <c r="L174" s="61" t="inlineStr">
        <is>
          <t>1809 VOLTAGE HC6 480V 90"EP LR</t>
        </is>
      </c>
      <c r="M174" s="61" t="inlineStr">
        <is>
          <t>BM590619306-SPL</t>
        </is>
      </c>
      <c r="N174" s="60" t="n">
        <v>1</v>
      </c>
      <c r="O174" s="60" t="n"/>
      <c r="P174" s="60" t="inlineStr">
        <is>
          <t>EA</t>
        </is>
      </c>
      <c r="Q174" s="60" t="n">
        <v>0</v>
      </c>
      <c r="R174" s="60" t="n"/>
      <c r="S174" s="56" t="n"/>
      <c r="T174" s="12" t="n"/>
      <c r="U174" s="12" t="n"/>
      <c r="V174" s="12" t="n"/>
      <c r="W174" s="91">
        <f>IF(AND(LEN(D366)&gt;=6,OR(LEFT(D366,1)="4",LEFT(D366,1)="5"),K366="9DRWM"),"SDRWM","")</f>
        <v/>
      </c>
      <c r="X174" s="2" t="n"/>
    </row>
    <row r="175" ht="12" customFormat="1" customHeight="1" s="41">
      <c r="A175" s="60" t="n"/>
      <c r="B175" s="61" t="inlineStr">
        <is>
          <t>...4</t>
        </is>
      </c>
      <c r="C175" s="61" t="inlineStr">
        <is>
          <t>0130</t>
        </is>
      </c>
      <c r="D175" s="60" t="n">
        <v>594441</v>
      </c>
      <c r="L175" s="61" t="inlineStr">
        <is>
          <t>PLUG, HOLLOW RAIL</t>
        </is>
      </c>
      <c r="M175" s="61" t="inlineStr">
        <is>
          <t>B 594441   R  A</t>
        </is>
      </c>
      <c r="N175" s="60" t="n">
        <v>4</v>
      </c>
      <c r="O175" s="60" t="n"/>
      <c r="P175" s="60" t="inlineStr">
        <is>
          <t>EA</t>
        </is>
      </c>
      <c r="Q175" s="60" t="n">
        <v>4</v>
      </c>
      <c r="R175" s="60" t="inlineStr">
        <is>
          <t>KITM</t>
        </is>
      </c>
      <c r="S175" s="56" t="n"/>
      <c r="T175" s="12" t="n"/>
      <c r="U175" s="12" t="n"/>
      <c r="V175" s="12" t="n"/>
      <c r="W175" s="91">
        <f>IF(AND(LEN(D367)&gt;=6,OR(LEFT(D367,1)="4",LEFT(D367,1)="5"),K367="9DRWM"),"SDRWM","")</f>
        <v/>
      </c>
      <c r="X175" s="2" t="n"/>
    </row>
    <row r="176" ht="12" customFormat="1" customHeight="1" s="10">
      <c r="A176" s="60" t="n"/>
      <c r="B176" s="61" t="inlineStr">
        <is>
          <t>...4</t>
        </is>
      </c>
      <c r="C176" s="61" t="inlineStr">
        <is>
          <t>0010</t>
        </is>
      </c>
      <c r="D176" s="60" t="n">
        <v>594454</v>
      </c>
      <c r="L176" s="61" t="inlineStr">
        <is>
          <t>SENSOR BRKT, SICK, ECM</t>
        </is>
      </c>
      <c r="M176" s="61" t="inlineStr">
        <is>
          <t>A 594454   R</t>
        </is>
      </c>
      <c r="N176" s="60" t="n">
        <v>1</v>
      </c>
      <c r="O176" s="60" t="n"/>
      <c r="P176" s="60" t="inlineStr">
        <is>
          <t>EA</t>
        </is>
      </c>
      <c r="Q176" s="60" t="n">
        <v>4</v>
      </c>
      <c r="R176" s="60" t="inlineStr">
        <is>
          <t>KITM</t>
        </is>
      </c>
      <c r="S176" s="56" t="n"/>
      <c r="T176" s="12" t="n"/>
      <c r="U176" s="12" t="n"/>
      <c r="V176" s="12" t="n"/>
      <c r="W176" s="91">
        <f>IF(AND(LEN(D368)&gt;=6,OR(LEFT(D368,1)="4",LEFT(D368,1)="5"),K368="9DRWM"),"SDRWM","")</f>
        <v/>
      </c>
      <c r="X176" s="2" t="n"/>
    </row>
    <row r="177" ht="12" customFormat="1" customHeight="1" s="46">
      <c r="A177" s="60" t="n"/>
      <c r="B177" s="61" t="inlineStr">
        <is>
          <t>....5</t>
        </is>
      </c>
      <c r="C177" s="61" t="inlineStr">
        <is>
          <t>0080</t>
        </is>
      </c>
      <c r="D177" s="60" t="n">
        <v>59448002</v>
      </c>
      <c r="L177" s="61" t="inlineStr">
        <is>
          <t>FINGER GUARD-NON REFLECT TYPE</t>
        </is>
      </c>
      <c r="M177" s="61" t="inlineStr">
        <is>
          <t>A 59448002 R  C</t>
        </is>
      </c>
      <c r="N177" s="60" t="n">
        <v>1</v>
      </c>
      <c r="O177" s="60" t="n"/>
      <c r="P177" s="60" t="inlineStr">
        <is>
          <t>EA</t>
        </is>
      </c>
      <c r="Q177" s="60" t="n">
        <v>4</v>
      </c>
      <c r="R177" s="60" t="inlineStr">
        <is>
          <t>KITM</t>
        </is>
      </c>
      <c r="S177" s="56" t="n"/>
      <c r="T177" s="12" t="n"/>
      <c r="U177" s="12" t="n"/>
      <c r="V177" s="12" t="n"/>
      <c r="W177" s="91">
        <f>IF(AND(LEN(D369)&gt;=6,OR(LEFT(D369,1)="4",LEFT(D369,1)="5"),K369="9DRWM"),"SDRWM","")</f>
        <v/>
      </c>
      <c r="X177" s="2" t="n"/>
    </row>
    <row r="178" ht="12" customFormat="1" customHeight="1" s="46">
      <c r="A178" s="60" t="n"/>
      <c r="B178" s="61" t="inlineStr">
        <is>
          <t>....5</t>
        </is>
      </c>
      <c r="C178" s="61" t="inlineStr">
        <is>
          <t>0060</t>
        </is>
      </c>
      <c r="D178" s="60" t="n">
        <v>59448001</v>
      </c>
      <c r="L178" s="61" t="inlineStr">
        <is>
          <t>FINGER GUARD-NON REFLECT TYPE</t>
        </is>
      </c>
      <c r="M178" s="61" t="inlineStr">
        <is>
          <t>A 59448001 R  C</t>
        </is>
      </c>
      <c r="N178" s="60" t="n">
        <v>1</v>
      </c>
      <c r="O178" s="60" t="n"/>
      <c r="P178" s="60" t="inlineStr">
        <is>
          <t>EA</t>
        </is>
      </c>
      <c r="Q178" s="60" t="n">
        <v>4</v>
      </c>
      <c r="R178" s="60" t="inlineStr">
        <is>
          <t>KITM</t>
        </is>
      </c>
      <c r="S178" s="56" t="n"/>
      <c r="T178" s="12" t="n"/>
      <c r="U178" s="12" t="n"/>
      <c r="V178" s="12" t="n"/>
      <c r="W178" s="91">
        <f>IF(AND(LEN(D370)&gt;=6,OR(LEFT(D370,1)="4",LEFT(D370,1)="5"),K370="9DRWM"),"SDRWM","")</f>
        <v/>
      </c>
      <c r="X178" s="2" t="n"/>
    </row>
    <row r="179" ht="12" customFormat="1" customHeight="1" s="46">
      <c r="A179" s="60" t="n"/>
      <c r="B179" s="61" t="inlineStr">
        <is>
          <t>....5</t>
        </is>
      </c>
      <c r="C179" s="61" t="inlineStr">
        <is>
          <t>0060</t>
        </is>
      </c>
      <c r="D179" s="60" t="n">
        <v>59448002</v>
      </c>
      <c r="L179" s="61" t="inlineStr">
        <is>
          <t>FINGER GUARD-NON REFLECT TYPE</t>
        </is>
      </c>
      <c r="M179" s="61" t="inlineStr">
        <is>
          <t>A 59448002 R  C</t>
        </is>
      </c>
      <c r="N179" s="60" t="n">
        <v>1</v>
      </c>
      <c r="O179" s="60" t="n"/>
      <c r="P179" s="60" t="inlineStr">
        <is>
          <t>EA</t>
        </is>
      </c>
      <c r="Q179" s="60" t="n">
        <v>4</v>
      </c>
      <c r="R179" s="60" t="inlineStr">
        <is>
          <t>KITM</t>
        </is>
      </c>
      <c r="S179" s="56" t="n"/>
      <c r="T179" s="12" t="n"/>
      <c r="U179" s="12" t="n"/>
      <c r="V179" s="12" t="n"/>
      <c r="W179" s="91">
        <f>IF(AND(LEN(D382)&gt;=6,OR(LEFT(D382,1)="4",LEFT(D382,1)="5"),K382="9DRWM"),"SDRWM","")</f>
        <v/>
      </c>
    </row>
    <row r="180" hidden="1" ht="12" customFormat="1" customHeight="1" s="46">
      <c r="A180" s="60" t="n"/>
      <c r="B180" s="61" t="inlineStr">
        <is>
          <t>..3</t>
        </is>
      </c>
      <c r="C180" s="61" t="inlineStr">
        <is>
          <t>0030</t>
        </is>
      </c>
      <c r="D180" s="60" t="n">
        <v>5906256</v>
      </c>
      <c r="L180" s="61" t="inlineStr">
        <is>
          <t>ELECT PNL ASSY HC6 1809 HV</t>
        </is>
      </c>
      <c r="M180" s="61" t="inlineStr">
        <is>
          <t>BM5906256  R</t>
        </is>
      </c>
      <c r="N180" s="60" t="n">
        <v>1</v>
      </c>
      <c r="O180" s="60" t="n"/>
      <c r="P180" s="60" t="inlineStr">
        <is>
          <t>EA</t>
        </is>
      </c>
      <c r="Q180" s="60" t="n">
        <v>0</v>
      </c>
      <c r="R180" s="60" t="n"/>
      <c r="S180" s="56" t="n"/>
      <c r="T180" s="12" t="n"/>
      <c r="U180" s="12" t="n"/>
      <c r="V180" s="12" t="n"/>
      <c r="W180" s="91">
        <f>IF(AND(LEN(D383)&gt;=6,OR(LEFT(D383,1)="4",LEFT(D383,1)="5"),K383="9DRWM"),"SDRWM","")</f>
        <v/>
      </c>
      <c r="X180" s="2" t="n"/>
    </row>
    <row r="181" ht="12" customFormat="1" customHeight="1" s="46">
      <c r="A181" s="60" t="n"/>
      <c r="B181" s="61" t="inlineStr">
        <is>
          <t>....5</t>
        </is>
      </c>
      <c r="C181" s="61" t="inlineStr">
        <is>
          <t>0050</t>
        </is>
      </c>
      <c r="D181" s="60" t="n">
        <v>59448001</v>
      </c>
      <c r="L181" s="61" t="inlineStr">
        <is>
          <t>FINGER GUARD-NON REFLECT TYPE</t>
        </is>
      </c>
      <c r="M181" s="61" t="inlineStr">
        <is>
          <t>A 59448001 R  C</t>
        </is>
      </c>
      <c r="N181" s="60" t="n">
        <v>1</v>
      </c>
      <c r="O181" s="60" t="n"/>
      <c r="P181" s="60" t="inlineStr">
        <is>
          <t>EA</t>
        </is>
      </c>
      <c r="Q181" s="60" t="n">
        <v>4</v>
      </c>
      <c r="R181" s="60" t="inlineStr">
        <is>
          <t>KITM</t>
        </is>
      </c>
      <c r="S181" s="56" t="n"/>
      <c r="T181" s="12" t="n"/>
      <c r="U181" s="12" t="n"/>
      <c r="V181" s="12" t="n"/>
      <c r="W181" s="91">
        <f>IF(AND(LEN(D384)&gt;=6,OR(LEFT(D384,1)="4",LEFT(D384,1)="5"),K384="9DRWM"),"SDRWM","")</f>
        <v/>
      </c>
    </row>
    <row r="182" ht="12" customFormat="1" customHeight="1" s="46">
      <c r="A182" s="60" t="n"/>
      <c r="B182" s="61" t="inlineStr">
        <is>
          <t>....5</t>
        </is>
      </c>
      <c r="C182" s="61" t="inlineStr">
        <is>
          <t>0010</t>
        </is>
      </c>
      <c r="D182" s="60" t="n">
        <v>59451201</v>
      </c>
      <c r="E182" t="n">
        <v>6</v>
      </c>
      <c r="F182" t="n">
        <v>5</v>
      </c>
      <c r="G182" t="inlineStr">
        <is>
          <t>96285</t>
        </is>
      </c>
      <c r="H182" t="inlineStr">
        <is>
          <t>596285</t>
        </is>
      </c>
      <c r="I182" t="n">
        <v>596285</v>
      </c>
      <c r="J182" t="n">
        <v>596285</v>
      </c>
      <c r="K182" t="n">
        <v>596285</v>
      </c>
      <c r="L182" s="61" t="inlineStr">
        <is>
          <t>PSEUDOWALL,MID-REAR COVER</t>
        </is>
      </c>
      <c r="M182" s="61" t="inlineStr">
        <is>
          <t>C 594512XX R  C</t>
        </is>
      </c>
      <c r="N182" s="60" t="n">
        <v>1</v>
      </c>
      <c r="O182" s="60" t="n"/>
      <c r="P182" s="60" t="inlineStr">
        <is>
          <t>EA</t>
        </is>
      </c>
      <c r="Q182" s="60" t="n">
        <v>4</v>
      </c>
      <c r="R182" s="60" t="inlineStr">
        <is>
          <t>KITM</t>
        </is>
      </c>
      <c r="S182" s="56" t="n"/>
      <c r="T182" s="12" t="n"/>
      <c r="U182" s="12" t="n"/>
      <c r="V182" s="12" t="n"/>
      <c r="W182" s="91">
        <f>IF(AND(LEN(D385)&gt;=6,OR(LEFT(D385,1)="4",LEFT(D385,1)="5"),K385="9DRWM"),"SDRWM","")</f>
        <v/>
      </c>
      <c r="X182" s="122" t="inlineStr">
        <is>
          <t>596285</t>
        </is>
      </c>
      <c r="Y182" s="122" t="n"/>
      <c r="Z182" s="122" t="n"/>
    </row>
    <row r="183" ht="12" customFormat="1" customHeight="1" s="46">
      <c r="A183" s="60" t="n"/>
      <c r="B183" s="61" t="inlineStr">
        <is>
          <t>....5</t>
        </is>
      </c>
      <c r="C183" s="61" t="inlineStr">
        <is>
          <t>0010</t>
        </is>
      </c>
      <c r="D183" s="60" t="n">
        <v>59451201</v>
      </c>
      <c r="L183" s="61" t="inlineStr">
        <is>
          <t>PSEUDOWALL,MID-REAR COVER</t>
        </is>
      </c>
      <c r="M183" s="61" t="inlineStr">
        <is>
          <t>C 594512XX R  C</t>
        </is>
      </c>
      <c r="N183" s="60" t="n">
        <v>1</v>
      </c>
      <c r="O183" s="60" t="n"/>
      <c r="P183" s="60" t="inlineStr">
        <is>
          <t>EA</t>
        </is>
      </c>
      <c r="Q183" s="60" t="n">
        <v>4</v>
      </c>
      <c r="R183" s="60" t="inlineStr">
        <is>
          <t>KITM</t>
        </is>
      </c>
      <c r="S183" s="56" t="n"/>
      <c r="T183" s="12" t="n"/>
      <c r="U183" s="12" t="n"/>
      <c r="V183" s="12" t="n"/>
      <c r="W183" s="91">
        <f>IF(AND(LEN(D386)&gt;=6,OR(LEFT(D386,1)="4",LEFT(D386,1)="5"),K386="9DRWM"),"SDRWM","")</f>
        <v/>
      </c>
    </row>
    <row r="184" hidden="1" ht="12" customFormat="1" customHeight="1" s="46">
      <c r="A184" s="60" t="n"/>
      <c r="B184" s="61" t="inlineStr">
        <is>
          <t>...4</t>
        </is>
      </c>
      <c r="C184" s="61" t="inlineStr">
        <is>
          <t>0010</t>
        </is>
      </c>
      <c r="D184" s="60" t="n">
        <v>5905977</v>
      </c>
      <c r="L184" s="61" t="inlineStr">
        <is>
          <t>MAIN E-PANEL, HC6</t>
        </is>
      </c>
      <c r="M184" s="61" t="inlineStr">
        <is>
          <t>D 5905977  R</t>
        </is>
      </c>
      <c r="N184" s="60" t="n">
        <v>1</v>
      </c>
      <c r="O184" s="60" t="n"/>
      <c r="P184" s="60" t="inlineStr">
        <is>
          <t>EA</t>
        </is>
      </c>
      <c r="Q184" s="60" t="n">
        <v>4</v>
      </c>
      <c r="R184" s="60" t="inlineStr">
        <is>
          <t>LTRNM</t>
        </is>
      </c>
      <c r="S184" s="56" t="n"/>
      <c r="T184" s="12" t="n"/>
      <c r="U184" s="12" t="n"/>
      <c r="V184" s="12" t="n"/>
      <c r="W184" s="91">
        <f>IF(AND(LEN(D387)&gt;=6,OR(LEFT(D387,1)="4",LEFT(D387,1)="5"),K387="9DRWM"),"SDRWM","")</f>
        <v/>
      </c>
      <c r="X184" s="2" t="n"/>
    </row>
    <row r="185" hidden="1" ht="12" customFormat="1" customHeight="1" s="46">
      <c r="A185" s="60" t="n"/>
      <c r="B185" s="61" t="inlineStr">
        <is>
          <t>...4</t>
        </is>
      </c>
      <c r="C185" s="61" t="inlineStr">
        <is>
          <t>0200</t>
        </is>
      </c>
      <c r="D185" s="60" t="n">
        <v>5901151</v>
      </c>
      <c r="L185" s="61" t="inlineStr">
        <is>
          <t>HC6 CONTROLL SET</t>
        </is>
      </c>
      <c r="M185" s="61" t="inlineStr">
        <is>
          <t>BM5901151  **</t>
        </is>
      </c>
      <c r="N185" s="60" t="n">
        <v>1</v>
      </c>
      <c r="O185" s="60" t="n"/>
      <c r="P185" s="60" t="inlineStr">
        <is>
          <t>EA</t>
        </is>
      </c>
      <c r="Q185" s="60" t="n">
        <v>0</v>
      </c>
      <c r="R185" s="60" t="n"/>
      <c r="S185" s="56" t="inlineStr">
        <is>
          <t>KITEP TO BLANK</t>
        </is>
      </c>
      <c r="T185" s="12" t="n"/>
      <c r="U185" s="12" t="n"/>
      <c r="V185" s="12" t="n"/>
      <c r="W185" s="91">
        <f>IF(AND(LEN(D408)&gt;=6,OR(LEFT(D408,1)="4",LEFT(D408,1)="5"),K408="9DRWM"),"SDRWM","")</f>
        <v/>
      </c>
    </row>
    <row r="186" hidden="1" ht="12" customFormat="1" customHeight="1" s="46">
      <c r="A186" s="60" t="n"/>
      <c r="B186" s="61" t="inlineStr">
        <is>
          <t>....5</t>
        </is>
      </c>
      <c r="C186" s="61" t="inlineStr">
        <is>
          <t>0010</t>
        </is>
      </c>
      <c r="D186" s="60" t="n">
        <v>590113801</v>
      </c>
      <c r="L186" s="61" t="inlineStr">
        <is>
          <t>HC6-AIO BOARD</t>
        </is>
      </c>
      <c r="M186" s="61" t="inlineStr">
        <is>
          <t>B 590113801R  A</t>
        </is>
      </c>
      <c r="N186" s="60" t="n">
        <v>1</v>
      </c>
      <c r="O186" s="60" t="n"/>
      <c r="P186" s="60" t="inlineStr">
        <is>
          <t>EA</t>
        </is>
      </c>
      <c r="Q186" s="60" t="n">
        <v>4</v>
      </c>
      <c r="R186" s="60" t="inlineStr">
        <is>
          <t>BNRML</t>
        </is>
      </c>
      <c r="S186" s="56" t="n"/>
      <c r="T186" s="12" t="n"/>
      <c r="U186" s="12" t="n"/>
      <c r="V186" s="12" t="n"/>
      <c r="W186" s="91">
        <f>IF(AND(LEN(D409)&gt;=6,OR(LEFT(D409,1)="4",LEFT(D409,1)="5"),K409="9DRWM"),"SDRWM","")</f>
        <v/>
      </c>
    </row>
    <row r="187" hidden="1" ht="12" customFormat="1" customHeight="1" s="46">
      <c r="A187" s="60" t="n"/>
      <c r="B187" s="61" t="inlineStr">
        <is>
          <t>....5</t>
        </is>
      </c>
      <c r="C187" s="61" t="inlineStr">
        <is>
          <t>0020</t>
        </is>
      </c>
      <c r="D187" s="60" t="n">
        <v>590113802</v>
      </c>
      <c r="L187" s="61" t="inlineStr">
        <is>
          <t>HC6-AIO FLASH MEMORY</t>
        </is>
      </c>
      <c r="M187" s="61" t="inlineStr">
        <is>
          <t>CP590113802R</t>
        </is>
      </c>
      <c r="N187" s="60" t="n">
        <v>1</v>
      </c>
      <c r="O187" s="60" t="n"/>
      <c r="P187" s="60" t="inlineStr">
        <is>
          <t>EA</t>
        </is>
      </c>
      <c r="Q187" s="60" t="n">
        <v>4</v>
      </c>
      <c r="R187" s="60" t="inlineStr">
        <is>
          <t>BNRML</t>
        </is>
      </c>
      <c r="S187" s="56" t="n"/>
      <c r="T187" s="12" t="n"/>
      <c r="U187" s="12" t="n"/>
      <c r="V187" s="12" t="n"/>
      <c r="W187" s="91">
        <f>IF(AND(LEN(D410)&gt;=6,OR(LEFT(D410,1)="4",LEFT(D410,1)="5"),K410="9DRWM"),"SDRWM","")</f>
        <v/>
      </c>
      <c r="X187" s="2" t="n"/>
    </row>
    <row r="188" ht="12" customFormat="1" customHeight="1" s="46">
      <c r="A188" s="60" t="n"/>
      <c r="B188" s="61" t="inlineStr">
        <is>
          <t>....5</t>
        </is>
      </c>
      <c r="C188" s="61" t="inlineStr">
        <is>
          <t>0080</t>
        </is>
      </c>
      <c r="D188" s="60" t="n">
        <v>59451202</v>
      </c>
      <c r="L188" s="61" t="inlineStr">
        <is>
          <t>PSEUDOWALL,MID-REAR COVER</t>
        </is>
      </c>
      <c r="M188" s="61" t="inlineStr">
        <is>
          <t>C 594512XX R  B</t>
        </is>
      </c>
      <c r="N188" s="60" t="n">
        <v>1</v>
      </c>
      <c r="O188" s="60" t="n"/>
      <c r="P188" s="60" t="inlineStr">
        <is>
          <t>EA</t>
        </is>
      </c>
      <c r="Q188" s="60" t="n">
        <v>4</v>
      </c>
      <c r="R188" s="60" t="inlineStr">
        <is>
          <t>KITM</t>
        </is>
      </c>
      <c r="S188" s="56" t="n"/>
      <c r="T188" s="12" t="n"/>
      <c r="U188" s="12" t="n"/>
      <c r="V188" s="12" t="n"/>
      <c r="W188" s="91">
        <f>IF(AND(LEN(D411)&gt;=6,OR(LEFT(D411,1)="4",LEFT(D411,1)="5"),K411="9DRWM"),"SDRWM","")</f>
        <v/>
      </c>
    </row>
    <row r="189" ht="12" customFormat="1" customHeight="1" s="53">
      <c r="A189" s="60" t="n"/>
      <c r="B189" s="61" t="inlineStr">
        <is>
          <t>....5</t>
        </is>
      </c>
      <c r="C189" s="61" t="inlineStr">
        <is>
          <t>0020</t>
        </is>
      </c>
      <c r="D189" s="60" t="n">
        <v>59451301</v>
      </c>
      <c r="E189" t="n">
        <v>6</v>
      </c>
      <c r="F189" t="n">
        <v>5</v>
      </c>
      <c r="G189" t="inlineStr">
        <is>
          <t>96559</t>
        </is>
      </c>
      <c r="H189" t="inlineStr">
        <is>
          <t>596559</t>
        </is>
      </c>
      <c r="I189" t="n">
        <v>596559</v>
      </c>
      <c r="J189" t="n">
        <v>596559</v>
      </c>
      <c r="K189" t="n">
        <v>596559</v>
      </c>
      <c r="L189" s="61" t="inlineStr">
        <is>
          <t>PSEUDOWALL,MID-FRONT COVER</t>
        </is>
      </c>
      <c r="M189" s="61" t="inlineStr">
        <is>
          <t>C 594513XX R  A</t>
        </is>
      </c>
      <c r="N189" s="60" t="n">
        <v>1</v>
      </c>
      <c r="O189" s="60" t="n"/>
      <c r="P189" s="60" t="inlineStr">
        <is>
          <t>EA</t>
        </is>
      </c>
      <c r="Q189" s="60" t="n">
        <v>4</v>
      </c>
      <c r="R189" s="60" t="inlineStr">
        <is>
          <t>KITM</t>
        </is>
      </c>
      <c r="S189" s="56" t="n"/>
      <c r="T189" s="12" t="n"/>
      <c r="U189" s="12" t="n"/>
      <c r="V189" s="12" t="n"/>
      <c r="W189" s="91">
        <f>IF(AND(LEN(D412)&gt;=6,OR(LEFT(D412,1)="4",LEFT(D412,1)="5"),K412="9DRWM"),"SDRWM","")</f>
        <v/>
      </c>
      <c r="X189" s="122" t="n"/>
      <c r="Y189" s="122" t="n"/>
      <c r="Z189" s="122" t="n"/>
    </row>
    <row r="190" ht="12" customFormat="1" customHeight="1" s="53">
      <c r="A190" s="60" t="n"/>
      <c r="B190" s="61" t="inlineStr">
        <is>
          <t>....5</t>
        </is>
      </c>
      <c r="C190" s="61" t="inlineStr">
        <is>
          <t>0060</t>
        </is>
      </c>
      <c r="D190" s="60" t="n">
        <v>59507801</v>
      </c>
      <c r="E190" t="n">
        <v>6</v>
      </c>
      <c r="F190" t="n">
        <v>5</v>
      </c>
      <c r="G190" t="inlineStr">
        <is>
          <t>96783</t>
        </is>
      </c>
      <c r="H190" t="inlineStr">
        <is>
          <t>596783</t>
        </is>
      </c>
      <c r="I190" t="n">
        <v>596783</v>
      </c>
      <c r="J190" t="n">
        <v>596783</v>
      </c>
      <c r="K190" t="n">
        <v>596783</v>
      </c>
      <c r="L190" s="61" t="inlineStr">
        <is>
          <t>PSEUDOWALL, ENT/EXIT,1809MK3</t>
        </is>
      </c>
      <c r="M190" s="61" t="inlineStr">
        <is>
          <t>D 595078XX R  A</t>
        </is>
      </c>
      <c r="N190" s="60" t="n">
        <v>1</v>
      </c>
      <c r="O190" s="60" t="n"/>
      <c r="P190" s="60" t="inlineStr">
        <is>
          <t>EA</t>
        </is>
      </c>
      <c r="Q190" s="60" t="n">
        <v>4</v>
      </c>
      <c r="R190" s="60" t="inlineStr">
        <is>
          <t>KITM</t>
        </is>
      </c>
      <c r="S190" s="56" t="n"/>
      <c r="T190" s="12" t="n"/>
      <c r="U190" s="12" t="n"/>
      <c r="V190" s="12" t="n"/>
      <c r="W190" s="91">
        <f>IF(AND(LEN(D413)&gt;=6,OR(LEFT(D413,1)="4",LEFT(D413,1)="5"),K413="9DRWM"),"SDRWM","")</f>
        <v/>
      </c>
      <c r="X190" s="122" t="inlineStr">
        <is>
          <t>596783</t>
        </is>
      </c>
      <c r="Y190" s="122" t="n"/>
      <c r="Z190" s="122" t="n"/>
    </row>
    <row r="191" ht="12" customFormat="1" customHeight="1" s="53">
      <c r="A191" s="60" t="n"/>
      <c r="B191" s="61" t="inlineStr">
        <is>
          <t>....5</t>
        </is>
      </c>
      <c r="C191" s="61" t="inlineStr">
        <is>
          <t>0070</t>
        </is>
      </c>
      <c r="D191" s="60" t="n">
        <v>59507802</v>
      </c>
      <c r="E191" t="n">
        <v>6</v>
      </c>
      <c r="F191" t="n">
        <v>5</v>
      </c>
      <c r="G191" t="inlineStr">
        <is>
          <t>96790</t>
        </is>
      </c>
      <c r="H191" t="inlineStr">
        <is>
          <t>596790</t>
        </is>
      </c>
      <c r="I191" t="n">
        <v>596790</v>
      </c>
      <c r="J191" t="n">
        <v>596790</v>
      </c>
      <c r="K191" t="n">
        <v>596790</v>
      </c>
      <c r="L191" s="61" t="inlineStr">
        <is>
          <t>PSEUDOWALL, ENT/EXIT,1809MK3</t>
        </is>
      </c>
      <c r="M191" s="61" t="inlineStr">
        <is>
          <t>D 595078XX R  A</t>
        </is>
      </c>
      <c r="N191" s="60" t="n">
        <v>1</v>
      </c>
      <c r="O191" s="60" t="n"/>
      <c r="P191" s="60" t="inlineStr">
        <is>
          <t>EA</t>
        </is>
      </c>
      <c r="Q191" s="60" t="n">
        <v>4</v>
      </c>
      <c r="R191" s="60" t="inlineStr">
        <is>
          <t>KITM</t>
        </is>
      </c>
      <c r="S191" s="56" t="n"/>
      <c r="T191" s="12" t="n"/>
      <c r="U191" s="12" t="n"/>
      <c r="V191" s="12" t="n"/>
      <c r="W191" s="91">
        <f>IF(AND(LEN(D414)&gt;=6,OR(LEFT(D414,1)="4",LEFT(D414,1)="5"),K414="9DRWM"),"SDRWM","")</f>
        <v/>
      </c>
      <c r="X191" s="122" t="n"/>
      <c r="Y191" s="122" t="n"/>
      <c r="Z191" s="122" t="n"/>
    </row>
    <row r="192" hidden="1" ht="12" customFormat="1" customHeight="1" s="46">
      <c r="A192" s="60" t="n"/>
      <c r="B192" s="61" t="inlineStr">
        <is>
          <t>....5</t>
        </is>
      </c>
      <c r="C192" s="61" t="inlineStr">
        <is>
          <t>0070</t>
        </is>
      </c>
      <c r="D192" s="60" t="n">
        <v>590113901</v>
      </c>
      <c r="E192" t="n">
        <v>6</v>
      </c>
      <c r="F192" t="n">
        <v>5</v>
      </c>
      <c r="G192" t="inlineStr">
        <is>
          <t>96790</t>
        </is>
      </c>
      <c r="H192" t="inlineStr">
        <is>
          <t>596790</t>
        </is>
      </c>
      <c r="I192" t="n">
        <v>596790</v>
      </c>
      <c r="J192" t="n">
        <v>596790</v>
      </c>
      <c r="K192" t="n">
        <v>596790</v>
      </c>
      <c r="L192" s="61" t="inlineStr">
        <is>
          <t>HC6-CONTROLLER BOARD</t>
        </is>
      </c>
      <c r="M192" s="61" t="inlineStr">
        <is>
          <t>B 590113901R  A</t>
        </is>
      </c>
      <c r="N192" s="60" t="n">
        <v>1</v>
      </c>
      <c r="O192" s="60" t="n"/>
      <c r="P192" s="60" t="inlineStr">
        <is>
          <t>EA</t>
        </is>
      </c>
      <c r="Q192" s="60" t="n">
        <v>4</v>
      </c>
      <c r="R192" s="60" t="inlineStr">
        <is>
          <t>BNRML</t>
        </is>
      </c>
      <c r="S192" s="56" t="n"/>
      <c r="T192" s="12" t="n"/>
      <c r="U192" s="12" t="n"/>
      <c r="V192" s="12" t="n"/>
      <c r="W192" s="91">
        <f>IF(AND(LEN(D415)&gt;=6,OR(LEFT(D415,1)="4",LEFT(D415,1)="5"),K415="9DRWM"),"SDRWM","")</f>
        <v/>
      </c>
      <c r="X192" s="122" t="n"/>
      <c r="Y192" s="122" t="n"/>
      <c r="Z192" s="122" t="n"/>
    </row>
    <row r="193" hidden="1" ht="12" customFormat="1" customHeight="1" s="46">
      <c r="A193" s="60" t="n"/>
      <c r="B193" s="61" t="inlineStr">
        <is>
          <t>....5</t>
        </is>
      </c>
      <c r="C193" s="61" t="inlineStr">
        <is>
          <t>0080</t>
        </is>
      </c>
      <c r="D193" s="60" t="n">
        <v>590113902</v>
      </c>
      <c r="E193" t="n">
        <v>8</v>
      </c>
      <c r="F193" t="n">
        <v>5</v>
      </c>
      <c r="G193" t="inlineStr">
        <is>
          <t>9684901</t>
        </is>
      </c>
      <c r="H193" t="inlineStr">
        <is>
          <t>59684901</t>
        </is>
      </c>
      <c r="I193" t="n">
        <v>59684901</v>
      </c>
      <c r="J193" t="n">
        <v>59684901</v>
      </c>
      <c r="K193" t="n">
        <v>596849</v>
      </c>
      <c r="L193" s="61" t="inlineStr">
        <is>
          <t>HC6-CONTROLLER SOM</t>
        </is>
      </c>
      <c r="M193" s="61" t="inlineStr">
        <is>
          <t>CP590113902R</t>
        </is>
      </c>
      <c r="N193" s="60" t="n">
        <v>1</v>
      </c>
      <c r="O193" s="60" t="n"/>
      <c r="P193" s="60" t="inlineStr">
        <is>
          <t>EA</t>
        </is>
      </c>
      <c r="Q193" s="60" t="n">
        <v>4</v>
      </c>
      <c r="R193" s="60" t="inlineStr">
        <is>
          <t>BNRML</t>
        </is>
      </c>
      <c r="S193" s="56" t="n"/>
      <c r="T193" s="12" t="n"/>
      <c r="U193" s="12" t="n"/>
      <c r="V193" s="12" t="n"/>
      <c r="W193" s="91">
        <f>IF(AND(LEN(D416)&gt;=6,OR(LEFT(D416,1)="4",LEFT(D416,1)="5"),K416="9DRWM"),"SDRWM","")</f>
        <v/>
      </c>
      <c r="X193" s="122" t="n"/>
      <c r="Y193" s="122" t="n"/>
      <c r="Z193" s="122" t="n"/>
    </row>
    <row r="194" ht="12" customFormat="1" customHeight="1" s="46">
      <c r="A194" s="60" t="n"/>
      <c r="B194" s="61" t="inlineStr">
        <is>
          <t>....5</t>
        </is>
      </c>
      <c r="C194" s="61" t="inlineStr">
        <is>
          <t>0060</t>
        </is>
      </c>
      <c r="D194" s="60" t="n">
        <v>59507801</v>
      </c>
      <c r="L194" s="61" t="inlineStr">
        <is>
          <t>PSEUDOWALL, ENT/EXIT,1809MK3</t>
        </is>
      </c>
      <c r="M194" s="61" t="inlineStr">
        <is>
          <t>D 595078XX R  A</t>
        </is>
      </c>
      <c r="N194" s="60" t="n">
        <v>1</v>
      </c>
      <c r="O194" s="60" t="n"/>
      <c r="P194" s="60" t="inlineStr">
        <is>
          <t>EA</t>
        </is>
      </c>
      <c r="Q194" s="60" t="n">
        <v>4</v>
      </c>
      <c r="R194" s="60" t="inlineStr">
        <is>
          <t>KITM</t>
        </is>
      </c>
      <c r="S194" s="56" t="n"/>
      <c r="T194" s="12" t="n"/>
      <c r="U194" s="12" t="n"/>
      <c r="V194" s="12" t="n"/>
      <c r="W194" s="91">
        <f>IF(AND(LEN(D417)&gt;=6,OR(LEFT(D417,1)="4",LEFT(D417,1)="5"),K417="9DRWM"),"SDRWM","")</f>
        <v/>
      </c>
      <c r="X194" s="2" t="n"/>
    </row>
    <row r="195" ht="12" customFormat="1" customHeight="1" s="46">
      <c r="A195" s="60" t="n"/>
      <c r="B195" s="61" t="inlineStr">
        <is>
          <t>....5</t>
        </is>
      </c>
      <c r="C195" s="61" t="inlineStr">
        <is>
          <t>0070</t>
        </is>
      </c>
      <c r="D195" s="60" t="n">
        <v>59507802</v>
      </c>
      <c r="L195" s="61" t="inlineStr">
        <is>
          <t>PSEUDOWALL, ENT/EXIT,1809MK3</t>
        </is>
      </c>
      <c r="M195" s="61" t="inlineStr">
        <is>
          <t>D 595078XX R  A</t>
        </is>
      </c>
      <c r="N195" s="60" t="n">
        <v>1</v>
      </c>
      <c r="O195" s="60" t="n"/>
      <c r="P195" s="60" t="inlineStr">
        <is>
          <t>EA</t>
        </is>
      </c>
      <c r="Q195" s="60" t="n">
        <v>4</v>
      </c>
      <c r="R195" s="60" t="inlineStr">
        <is>
          <t>KITM</t>
        </is>
      </c>
      <c r="S195" s="56" t="n"/>
      <c r="T195" s="12" t="n"/>
      <c r="U195" s="12" t="n"/>
      <c r="V195" s="12" t="n"/>
      <c r="W195" s="91">
        <f>IF(AND(LEN(D418)&gt;=6,OR(LEFT(D418,1)="4",LEFT(D418,1)="5"),K418="9DRWM"),"SDRWM","")</f>
        <v/>
      </c>
    </row>
    <row r="196" ht="12" customFormat="1" customHeight="1" s="10">
      <c r="A196" s="60" t="n"/>
      <c r="B196" s="61" t="inlineStr">
        <is>
          <t>...4</t>
        </is>
      </c>
      <c r="C196" s="61" t="inlineStr">
        <is>
          <t>0020</t>
        </is>
      </c>
      <c r="D196" s="60" t="n">
        <v>59511002</v>
      </c>
      <c r="L196" s="61" t="inlineStr">
        <is>
          <t>MOUNTING SMEMA SENSOR BRK</t>
        </is>
      </c>
      <c r="M196" s="61" t="inlineStr">
        <is>
          <t>B 595110XX R</t>
        </is>
      </c>
      <c r="N196" s="60" t="n">
        <v>-1</v>
      </c>
      <c r="O196" s="60" t="n"/>
      <c r="P196" s="60" t="inlineStr">
        <is>
          <t>EA</t>
        </is>
      </c>
      <c r="Q196" s="60" t="n">
        <v>4</v>
      </c>
      <c r="R196" s="60" t="inlineStr">
        <is>
          <t>KITM</t>
        </is>
      </c>
      <c r="S196" s="56" t="n"/>
      <c r="T196" s="12" t="n"/>
      <c r="U196" s="12" t="n"/>
      <c r="V196" s="12" t="n"/>
      <c r="W196" s="91">
        <f>IF(AND(LEN(D419)&gt;=6,OR(LEFT(D419,1)="4",LEFT(D419,1)="5"),K419="9DRWM"),"SDRWM","")</f>
        <v/>
      </c>
    </row>
    <row r="197" ht="12" customFormat="1" customHeight="1" s="10">
      <c r="A197" s="60" t="n"/>
      <c r="B197" s="61" t="inlineStr">
        <is>
          <t>...4</t>
        </is>
      </c>
      <c r="C197" s="61" t="inlineStr">
        <is>
          <t>0080</t>
        </is>
      </c>
      <c r="D197" s="60" t="n">
        <v>595500</v>
      </c>
      <c r="E197" t="n">
        <v>8</v>
      </c>
      <c r="F197" t="n">
        <v>5</v>
      </c>
      <c r="G197" t="inlineStr">
        <is>
          <t>9684907</t>
        </is>
      </c>
      <c r="H197" t="inlineStr">
        <is>
          <t>59684907</t>
        </is>
      </c>
      <c r="I197" t="n">
        <v>59684907</v>
      </c>
      <c r="J197" t="n">
        <v>59684907</v>
      </c>
      <c r="K197" t="n">
        <v>596849</v>
      </c>
      <c r="L197" s="61" t="inlineStr">
        <is>
          <t>ANTI-ROTATION BRK FOR ENCODER</t>
        </is>
      </c>
      <c r="M197" s="61" t="inlineStr">
        <is>
          <t>A 595500   R  A</t>
        </is>
      </c>
      <c r="N197" s="60" t="n">
        <v>1</v>
      </c>
      <c r="O197" s="60" t="n"/>
      <c r="P197" s="60" t="inlineStr">
        <is>
          <t>EA</t>
        </is>
      </c>
      <c r="Q197" s="60" t="n">
        <v>4</v>
      </c>
      <c r="R197" s="60" t="inlineStr">
        <is>
          <t>KITM</t>
        </is>
      </c>
      <c r="S197" s="56" t="n"/>
      <c r="T197" s="12" t="n"/>
      <c r="U197" s="12" t="n"/>
      <c r="V197" s="12" t="n"/>
      <c r="W197" s="91">
        <f>IF(AND(LEN(D420)&gt;=6,OR(LEFT(D420,1)="4",LEFT(D420,1)="5"),K420="9DRWM"),"SDRWM","")</f>
        <v/>
      </c>
      <c r="X197" s="122" t="n"/>
      <c r="Y197" s="122" t="n"/>
      <c r="Z197" s="122" t="n"/>
    </row>
    <row r="198" hidden="1" ht="12" customFormat="1" customHeight="1" s="10">
      <c r="A198" s="60" t="n"/>
      <c r="B198" s="61" t="inlineStr">
        <is>
          <t>...4</t>
        </is>
      </c>
      <c r="C198" s="61" t="inlineStr">
        <is>
          <t>0210</t>
        </is>
      </c>
      <c r="D198" s="60" t="n">
        <v>590114001</v>
      </c>
      <c r="L198" s="61" t="inlineStr">
        <is>
          <t>HC6-HDIO-16 BOARD</t>
        </is>
      </c>
      <c r="M198" s="61" t="inlineStr">
        <is>
          <t>B 590114001R  A</t>
        </is>
      </c>
      <c r="N198" s="60" t="n">
        <v>1</v>
      </c>
      <c r="O198" s="60" t="n"/>
      <c r="P198" s="60" t="inlineStr">
        <is>
          <t>EA</t>
        </is>
      </c>
      <c r="Q198" s="60" t="n">
        <v>4</v>
      </c>
      <c r="R198" s="60" t="inlineStr">
        <is>
          <t>BNRML</t>
        </is>
      </c>
      <c r="S198" s="56" t="n"/>
      <c r="T198" s="12" t="n"/>
      <c r="U198" s="12" t="n"/>
      <c r="V198" s="12" t="n"/>
      <c r="W198" s="91">
        <f>IF(AND(LEN(D421)&gt;=6,OR(LEFT(D421,1)="4",LEFT(D421,1)="5"),K421="9DRWM"),"SDRWM","")</f>
        <v/>
      </c>
    </row>
    <row r="199" hidden="1" ht="12" customFormat="1" customHeight="1" s="10">
      <c r="A199" s="60" t="n"/>
      <c r="B199" s="61" t="inlineStr">
        <is>
          <t>...4</t>
        </is>
      </c>
      <c r="C199" s="61" t="inlineStr">
        <is>
          <t>0212</t>
        </is>
      </c>
      <c r="D199" s="60" t="n">
        <v>5901141</v>
      </c>
      <c r="L199" s="61" t="inlineStr">
        <is>
          <t>HC6-AIO-HDIO POWER CABLE</t>
        </is>
      </c>
      <c r="M199" s="61" t="inlineStr">
        <is>
          <t>A 5901141  R  C</t>
        </is>
      </c>
      <c r="N199" s="60" t="n">
        <v>1</v>
      </c>
      <c r="O199" s="60" t="n"/>
      <c r="P199" s="60" t="inlineStr">
        <is>
          <t>EA</t>
        </is>
      </c>
      <c r="Q199" s="60" t="n">
        <v>0</v>
      </c>
      <c r="R199" s="60" t="n"/>
      <c r="S199" s="56" t="inlineStr">
        <is>
          <t>9DRWM TO BLANK</t>
        </is>
      </c>
      <c r="T199" s="12" t="n"/>
      <c r="U199" s="12" t="n"/>
      <c r="V199" s="12" t="n"/>
      <c r="W199" s="91">
        <f>IF(AND(LEN(D423)&gt;=6,OR(LEFT(D423,1)="4",LEFT(D423,1)="5"),K423="9DRWM"),"SDRWM","")</f>
        <v/>
      </c>
      <c r="X199" s="54" t="n"/>
    </row>
    <row r="200" hidden="1" ht="12" customFormat="1" customHeight="1" s="10">
      <c r="A200" s="60" t="n"/>
      <c r="B200" s="61" t="inlineStr">
        <is>
          <t>...4</t>
        </is>
      </c>
      <c r="C200" s="61" t="inlineStr">
        <is>
          <t>0213</t>
        </is>
      </c>
      <c r="D200" s="60" t="n">
        <v>5901142</v>
      </c>
      <c r="E200" t="n">
        <v>8</v>
      </c>
      <c r="F200" t="n">
        <v>5</v>
      </c>
      <c r="G200" t="inlineStr">
        <is>
          <t>9685301</t>
        </is>
      </c>
      <c r="H200" t="inlineStr">
        <is>
          <t>59685301</t>
        </is>
      </c>
      <c r="I200" t="n">
        <v>59685301</v>
      </c>
      <c r="J200" t="n">
        <v>59685301</v>
      </c>
      <c r="K200" t="n">
        <v>596853</v>
      </c>
      <c r="L200" s="61" t="inlineStr">
        <is>
          <t>HC6-AIO-HDIO DATA CABLE</t>
        </is>
      </c>
      <c r="M200" s="61" t="inlineStr">
        <is>
          <t>CP5901142  R  A</t>
        </is>
      </c>
      <c r="N200" s="60" t="n">
        <v>1</v>
      </c>
      <c r="O200" s="60" t="n"/>
      <c r="P200" s="60" t="inlineStr">
        <is>
          <t>EA</t>
        </is>
      </c>
      <c r="Q200" s="60" t="n">
        <v>4</v>
      </c>
      <c r="R200" s="60" t="inlineStr">
        <is>
          <t>KITHR</t>
        </is>
      </c>
      <c r="S200" s="56" t="n"/>
      <c r="T200" s="12" t="n"/>
      <c r="U200" s="12" t="n"/>
      <c r="V200" s="12" t="n"/>
      <c r="W200" s="91">
        <f>IF(AND(LEN(D427)&gt;=6,OR(LEFT(D427,1)="4",LEFT(D427,1)="5"),K427="9DRWM"),"SDRWM","")</f>
        <v/>
      </c>
      <c r="X200" s="122" t="inlineStr">
        <is>
          <t>59685301</t>
        </is>
      </c>
      <c r="Y200" s="122" t="n"/>
      <c r="Z200" s="122" t="n"/>
    </row>
    <row r="201" hidden="1" ht="12" customFormat="1" customHeight="1" s="10">
      <c r="A201" s="60" t="n"/>
      <c r="B201" s="61" t="inlineStr">
        <is>
          <t>...4</t>
        </is>
      </c>
      <c r="C201" s="61" t="inlineStr">
        <is>
          <t>0214</t>
        </is>
      </c>
      <c r="D201" s="60" t="n">
        <v>5901143</v>
      </c>
      <c r="L201" s="61" t="inlineStr">
        <is>
          <t>HC6-AIO-CONTROLLER POWER CABLE</t>
        </is>
      </c>
      <c r="M201" s="61" t="inlineStr">
        <is>
          <t>CP5901143  -SPL</t>
        </is>
      </c>
      <c r="N201" s="60" t="n">
        <v>1</v>
      </c>
      <c r="O201" s="60" t="n"/>
      <c r="P201" s="60" t="inlineStr">
        <is>
          <t>EA</t>
        </is>
      </c>
      <c r="Q201" s="60" t="n">
        <v>0</v>
      </c>
      <c r="R201" s="60" t="n"/>
      <c r="S201" s="56" t="n"/>
      <c r="T201" s="12" t="n"/>
      <c r="U201" s="12" t="n"/>
      <c r="V201" s="12" t="n"/>
      <c r="W201" s="91">
        <f>IF(AND(LEN(D428)&gt;=6,OR(LEFT(D428,1)="4",LEFT(D428,1)="5"),K428="9DRWM"),"SDRWM","")</f>
        <v/>
      </c>
      <c r="X201" s="2" t="n"/>
    </row>
    <row r="202" hidden="1" ht="12" customFormat="1" customHeight="1" s="10">
      <c r="A202" s="40" t="inlineStr">
        <is>
          <t>ADD</t>
        </is>
      </c>
      <c r="B202" s="37" t="inlineStr">
        <is>
          <t>...4</t>
        </is>
      </c>
      <c r="C202" s="37" t="inlineStr">
        <is>
          <t>0220</t>
        </is>
      </c>
      <c r="D202" s="40" t="n">
        <v>5901144</v>
      </c>
      <c r="E202" t="n">
        <v>6</v>
      </c>
      <c r="F202" t="n">
        <v>5</v>
      </c>
      <c r="G202" t="inlineStr">
        <is>
          <t>96880</t>
        </is>
      </c>
      <c r="H202" t="inlineStr">
        <is>
          <t>596880</t>
        </is>
      </c>
      <c r="I202" t="n">
        <v>596880</v>
      </c>
      <c r="J202" t="n">
        <v>596880</v>
      </c>
      <c r="K202" t="n">
        <v>596880</v>
      </c>
      <c r="L202" s="37" t="inlineStr">
        <is>
          <t>HC6-AIO-CONTROLLER ETH CABLE</t>
        </is>
      </c>
      <c r="M202" s="37" t="inlineStr">
        <is>
          <t>CP5901144 R</t>
        </is>
      </c>
      <c r="N202" s="40" t="n">
        <v>1</v>
      </c>
      <c r="O202" s="40" t="n"/>
      <c r="P202" s="40" t="inlineStr">
        <is>
          <t>EA</t>
        </is>
      </c>
      <c r="Q202" s="40" t="n">
        <v>4</v>
      </c>
      <c r="R202" s="40" t="inlineStr">
        <is>
          <t>BNRML</t>
        </is>
      </c>
      <c r="S202" s="72" t="n"/>
      <c r="T202" s="15" t="inlineStr">
        <is>
          <t>R1</t>
        </is>
      </c>
      <c r="U202" s="15" t="inlineStr">
        <is>
          <t>VENKATESH</t>
        </is>
      </c>
      <c r="V202" s="15" t="n"/>
      <c r="W202" s="73" t="n"/>
      <c r="X202" s="122" t="n"/>
      <c r="Y202" s="122" t="n"/>
      <c r="Z202" s="122" t="n"/>
    </row>
    <row r="203" ht="12" customFormat="1" customHeight="1" s="10">
      <c r="A203" s="60" t="n"/>
      <c r="B203" s="61" t="inlineStr">
        <is>
          <t>..3</t>
        </is>
      </c>
      <c r="C203" s="61" t="inlineStr">
        <is>
          <t>0030</t>
        </is>
      </c>
      <c r="D203" s="60" t="n">
        <v>595500</v>
      </c>
      <c r="E203" t="n">
        <v>8</v>
      </c>
      <c r="F203" t="n">
        <v>5</v>
      </c>
      <c r="G203" t="inlineStr">
        <is>
          <t>9757801</t>
        </is>
      </c>
      <c r="H203" t="inlineStr">
        <is>
          <t>59757801</t>
        </is>
      </c>
      <c r="I203" t="n">
        <v>59757801</v>
      </c>
      <c r="J203" t="n">
        <v>59757801</v>
      </c>
      <c r="K203" t="n">
        <v>597578</v>
      </c>
      <c r="L203" s="61" t="inlineStr">
        <is>
          <t>ANTI-ROTATION BRK FOR ENCODER</t>
        </is>
      </c>
      <c r="M203" s="61" t="inlineStr">
        <is>
          <t>A 595500   R  A</t>
        </is>
      </c>
      <c r="N203" s="60" t="n">
        <v>1</v>
      </c>
      <c r="O203" s="60" t="n"/>
      <c r="P203" s="60" t="inlineStr">
        <is>
          <t>EA</t>
        </is>
      </c>
      <c r="Q203" s="60" t="n">
        <v>4</v>
      </c>
      <c r="R203" s="60" t="inlineStr">
        <is>
          <t>KITM</t>
        </is>
      </c>
      <c r="S203" s="56" t="n"/>
      <c r="T203" s="12" t="n"/>
      <c r="U203" s="12" t="n"/>
      <c r="V203" s="12" t="n"/>
      <c r="W203" s="91">
        <f>IF(AND(LEN(D443)&gt;=6,OR(LEFT(D443,1)="4",LEFT(D443,1)="5"),K443="9DRWM"),"SDRWM","")</f>
        <v/>
      </c>
      <c r="X203" s="123" t="inlineStr">
        <is>
          <t>59757801</t>
        </is>
      </c>
      <c r="Y203" s="122" t="n"/>
      <c r="Z203" s="122" t="n"/>
    </row>
    <row r="204" ht="12" customFormat="1" customHeight="1" s="10">
      <c r="A204" s="60" t="n"/>
      <c r="B204" s="61" t="inlineStr">
        <is>
          <t>..3</t>
        </is>
      </c>
      <c r="C204" s="61" t="inlineStr">
        <is>
          <t>0080</t>
        </is>
      </c>
      <c r="D204" s="60" t="n">
        <v>595805</v>
      </c>
      <c r="E204" t="n">
        <v>8</v>
      </c>
      <c r="F204" t="n">
        <v>5</v>
      </c>
      <c r="G204" t="inlineStr">
        <is>
          <t>9757802</t>
        </is>
      </c>
      <c r="H204" t="inlineStr">
        <is>
          <t>59757802</t>
        </is>
      </c>
      <c r="I204" t="n">
        <v>59757802</v>
      </c>
      <c r="J204" t="n">
        <v>59757802</v>
      </c>
      <c r="K204" t="n">
        <v>597578</v>
      </c>
      <c r="L204" s="61" t="inlineStr">
        <is>
          <t>CROSS BRACE ,BASE,MK5</t>
        </is>
      </c>
      <c r="M204" s="61" t="inlineStr">
        <is>
          <t>B 595805   R  B</t>
        </is>
      </c>
      <c r="N204" s="60" t="n">
        <v>1</v>
      </c>
      <c r="O204" s="60" t="n"/>
      <c r="P204" s="60" t="inlineStr">
        <is>
          <t>EA</t>
        </is>
      </c>
      <c r="Q204" s="60" t="n">
        <v>4</v>
      </c>
      <c r="R204" s="60" t="inlineStr">
        <is>
          <t>KITM</t>
        </is>
      </c>
      <c r="S204" s="56" t="n"/>
      <c r="T204" s="12" t="n"/>
      <c r="U204" s="12" t="n"/>
      <c r="V204" s="12" t="n"/>
      <c r="W204" s="91">
        <f>IF(AND(LEN(D444)&gt;=6,OR(LEFT(D444,1)="4",LEFT(D444,1)="5"),K444="9DRWM"),"SDRWM","")</f>
        <v/>
      </c>
      <c r="X204" s="123" t="inlineStr">
        <is>
          <t>59757802</t>
        </is>
      </c>
      <c r="Y204" s="122" t="n"/>
      <c r="Z204" s="122" t="n"/>
    </row>
    <row r="205" ht="12" customFormat="1" customHeight="1" s="10">
      <c r="A205" s="60" t="n"/>
      <c r="B205" s="61" t="inlineStr">
        <is>
          <t>....5</t>
        </is>
      </c>
      <c r="C205" s="61" t="inlineStr">
        <is>
          <t>0200</t>
        </is>
      </c>
      <c r="D205" s="60" t="n">
        <v>595812</v>
      </c>
      <c r="L205" s="61" t="inlineStr">
        <is>
          <t>MINI COMPUTER SUPPORT BRACKET</t>
        </is>
      </c>
      <c r="M205" s="61" t="inlineStr">
        <is>
          <t>A 595812   R  B</t>
        </is>
      </c>
      <c r="N205" s="60" t="n">
        <v>1</v>
      </c>
      <c r="O205" s="60" t="n"/>
      <c r="P205" s="60" t="inlineStr">
        <is>
          <t>EA</t>
        </is>
      </c>
      <c r="Q205" s="60" t="n">
        <v>4</v>
      </c>
      <c r="R205" s="60" t="inlineStr">
        <is>
          <t>KITM</t>
        </is>
      </c>
      <c r="S205" s="56" t="n"/>
      <c r="T205" s="12" t="n"/>
      <c r="U205" s="12" t="n"/>
      <c r="V205" s="12" t="n"/>
      <c r="W205" s="91">
        <f>IF(AND(LEN(D445)&gt;=6,OR(LEFT(D445,1)="4",LEFT(D445,1)="5"),K445="9DRWM"),"SDRWM","")</f>
        <v/>
      </c>
      <c r="X205" s="2" t="n"/>
    </row>
    <row r="206" ht="12" customFormat="1" customHeight="1" s="46">
      <c r="A206" s="60" t="n"/>
      <c r="B206" s="61" t="inlineStr">
        <is>
          <t>.2</t>
        </is>
      </c>
      <c r="C206" s="61" t="inlineStr">
        <is>
          <t>0030</t>
        </is>
      </c>
      <c r="D206" s="60" t="n">
        <v>595839</v>
      </c>
      <c r="E206" t="n">
        <v>8</v>
      </c>
      <c r="F206" t="n">
        <v>5</v>
      </c>
      <c r="G206" t="inlineStr">
        <is>
          <t>9757801</t>
        </is>
      </c>
      <c r="H206" t="inlineStr">
        <is>
          <t>59757801</t>
        </is>
      </c>
      <c r="I206" t="n">
        <v>59757801</v>
      </c>
      <c r="J206" t="n">
        <v>59757801</v>
      </c>
      <c r="K206" t="n">
        <v>597578</v>
      </c>
      <c r="L206" s="61" t="inlineStr">
        <is>
          <t>CAP HINGE PIN</t>
        </is>
      </c>
      <c r="M206" s="61" t="inlineStr">
        <is>
          <t>A 595839   R</t>
        </is>
      </c>
      <c r="N206" s="60" t="n">
        <v>2</v>
      </c>
      <c r="O206" s="60" t="n"/>
      <c r="P206" s="60" t="inlineStr">
        <is>
          <t>EA</t>
        </is>
      </c>
      <c r="Q206" s="60" t="n">
        <v>4</v>
      </c>
      <c r="R206" s="60" t="inlineStr">
        <is>
          <t>KITM</t>
        </is>
      </c>
      <c r="S206" s="56" t="n"/>
      <c r="T206" s="12" t="n"/>
      <c r="U206" s="12" t="n"/>
      <c r="V206" s="12" t="n"/>
      <c r="W206" s="91">
        <f>IF(AND(LEN(D446)&gt;=6,OR(LEFT(D446,1)="4",LEFT(D446,1)="5"),K446="9DRWM"),"SDRWM","")</f>
        <v/>
      </c>
      <c r="X206" s="123" t="inlineStr">
        <is>
          <t>59757801</t>
        </is>
      </c>
      <c r="Y206" s="122" t="n"/>
      <c r="Z206" s="122" t="n"/>
    </row>
    <row r="207" hidden="1" ht="12" customFormat="1" customHeight="1" s="46">
      <c r="A207" s="60" t="n"/>
      <c r="B207" s="61" t="inlineStr">
        <is>
          <t>...4</t>
        </is>
      </c>
      <c r="C207" s="61" t="inlineStr">
        <is>
          <t>0320</t>
        </is>
      </c>
      <c r="D207" s="60" t="n">
        <v>590633301</v>
      </c>
      <c r="E207" t="n">
        <v>8</v>
      </c>
      <c r="F207" t="n">
        <v>5</v>
      </c>
      <c r="G207" t="inlineStr">
        <is>
          <t>9757802</t>
        </is>
      </c>
      <c r="H207" t="inlineStr">
        <is>
          <t>59757802</t>
        </is>
      </c>
      <c r="I207" t="n">
        <v>59757802</v>
      </c>
      <c r="J207" t="n">
        <v>59757802</v>
      </c>
      <c r="K207" t="n">
        <v>597578</v>
      </c>
      <c r="L207" s="61" t="inlineStr">
        <is>
          <t>WIREWAY DUCT,E-PANEL,1000MM LG</t>
        </is>
      </c>
      <c r="M207" s="61" t="inlineStr">
        <is>
          <t>B 5906333XXR</t>
        </is>
      </c>
      <c r="N207" s="60" t="n">
        <v>1</v>
      </c>
      <c r="O207" s="60" t="n"/>
      <c r="P207" s="60" t="inlineStr">
        <is>
          <t>EA</t>
        </is>
      </c>
      <c r="Q207" s="60" t="n">
        <v>4</v>
      </c>
      <c r="R207" s="60" t="inlineStr">
        <is>
          <t>PBINM</t>
        </is>
      </c>
      <c r="S207" s="56" t="n"/>
      <c r="T207" s="12" t="n"/>
      <c r="U207" s="12" t="n"/>
      <c r="V207" s="12" t="n"/>
      <c r="W207" s="91">
        <f>IF(AND(LEN(D447)&gt;=6,OR(LEFT(D447,1)="4",LEFT(D447,1)="5"),K447="9DRWM"),"SDRWM","")</f>
        <v/>
      </c>
      <c r="X207" s="123" t="inlineStr">
        <is>
          <t>59757802</t>
        </is>
      </c>
      <c r="Y207" s="122" t="n"/>
      <c r="Z207" s="122" t="n"/>
    </row>
    <row r="208" hidden="1" ht="12" customFormat="1" customHeight="1" s="46">
      <c r="A208" s="60" t="n"/>
      <c r="B208" s="61" t="inlineStr">
        <is>
          <t>...4</t>
        </is>
      </c>
      <c r="C208" s="61" t="inlineStr">
        <is>
          <t>0325</t>
        </is>
      </c>
      <c r="D208" s="60" t="n">
        <v>590633302</v>
      </c>
      <c r="L208" s="61" t="inlineStr">
        <is>
          <t>WIREWAY DUCT,E-PANEL,454MM LG</t>
        </is>
      </c>
      <c r="M208" s="61" t="inlineStr">
        <is>
          <t>B 5906333XXR</t>
        </is>
      </c>
      <c r="N208" s="60" t="n">
        <v>2</v>
      </c>
      <c r="O208" s="60" t="n"/>
      <c r="P208" s="60" t="inlineStr">
        <is>
          <t>EA</t>
        </is>
      </c>
      <c r="Q208" s="60" t="n">
        <v>4</v>
      </c>
      <c r="R208" s="60" t="inlineStr">
        <is>
          <t>PBINM</t>
        </is>
      </c>
      <c r="S208" s="56" t="n"/>
      <c r="T208" s="12" t="n"/>
      <c r="U208" s="12" t="n"/>
      <c r="V208" s="12" t="n"/>
      <c r="W208" s="91">
        <f>IF(AND(LEN(D448)&gt;=6,OR(LEFT(D448,1)="4",LEFT(D448,1)="5"),K448="9DRWM"),"SDRWM","")</f>
        <v/>
      </c>
      <c r="X208" s="2" t="n"/>
    </row>
    <row r="209" hidden="1" ht="12" customFormat="1" customHeight="1" s="46">
      <c r="A209" s="60" t="n"/>
      <c r="B209" s="61" t="inlineStr">
        <is>
          <t>...4</t>
        </is>
      </c>
      <c r="C209" s="61" t="inlineStr">
        <is>
          <t>0330</t>
        </is>
      </c>
      <c r="D209" s="60" t="n">
        <v>590633303</v>
      </c>
      <c r="E209" t="n">
        <v>6</v>
      </c>
      <c r="F209" t="n">
        <v>5</v>
      </c>
      <c r="G209" t="inlineStr">
        <is>
          <t>97607</t>
        </is>
      </c>
      <c r="H209" t="inlineStr">
        <is>
          <t>597607</t>
        </is>
      </c>
      <c r="I209" t="n">
        <v>597607</v>
      </c>
      <c r="J209" t="n">
        <v>597607</v>
      </c>
      <c r="K209" t="n">
        <v>597607</v>
      </c>
      <c r="L209" s="61" t="inlineStr">
        <is>
          <t>WIREWAY DUCT,E-PANEL,2066MM LG</t>
        </is>
      </c>
      <c r="M209" s="61" t="inlineStr">
        <is>
          <t>B 5906333XXR</t>
        </is>
      </c>
      <c r="N209" s="60" t="n">
        <v>1</v>
      </c>
      <c r="O209" s="60" t="n"/>
      <c r="P209" s="60" t="inlineStr">
        <is>
          <t>EA</t>
        </is>
      </c>
      <c r="Q209" s="60" t="n">
        <v>4</v>
      </c>
      <c r="R209" s="60" t="inlineStr">
        <is>
          <t>PBINM</t>
        </is>
      </c>
      <c r="S209" s="56" t="n"/>
      <c r="T209" s="12" t="n"/>
      <c r="U209" s="12" t="n"/>
      <c r="V209" s="12" t="n"/>
      <c r="W209" s="91">
        <f>IF(AND(LEN(D449)&gt;=6,OR(LEFT(D449,1)="4",LEFT(D449,1)="5"),K449="9DRWM"),"SDRWM","")</f>
        <v/>
      </c>
      <c r="X209" s="123" t="n"/>
      <c r="Y209" s="122" t="n"/>
      <c r="Z209" s="122" t="n"/>
    </row>
    <row r="210" hidden="1" ht="12" customFormat="1" customHeight="1" s="46">
      <c r="A210" s="60" t="n"/>
      <c r="B210" s="61" t="inlineStr">
        <is>
          <t>...4</t>
        </is>
      </c>
      <c r="C210" s="61" t="inlineStr">
        <is>
          <t>0335</t>
        </is>
      </c>
      <c r="D210" s="60" t="n">
        <v>590633304</v>
      </c>
      <c r="E210" t="n">
        <v>8</v>
      </c>
      <c r="F210" t="n">
        <v>5</v>
      </c>
      <c r="G210" t="inlineStr">
        <is>
          <t>9796501</t>
        </is>
      </c>
      <c r="H210" t="inlineStr">
        <is>
          <t>59796501</t>
        </is>
      </c>
      <c r="I210" t="n">
        <v>59796501</v>
      </c>
      <c r="J210" t="n">
        <v>59796501</v>
      </c>
      <c r="K210" t="n">
        <v>597965</v>
      </c>
      <c r="L210" s="61" t="inlineStr">
        <is>
          <t>WIREWAY DUCT,E-PANEL,374MM LG</t>
        </is>
      </c>
      <c r="M210" s="61" t="inlineStr">
        <is>
          <t>B 5906333XXR</t>
        </is>
      </c>
      <c r="N210" s="60" t="n">
        <v>2</v>
      </c>
      <c r="O210" s="60" t="n"/>
      <c r="P210" s="60" t="inlineStr">
        <is>
          <t>EA</t>
        </is>
      </c>
      <c r="Q210" s="60" t="n">
        <v>4</v>
      </c>
      <c r="R210" s="60" t="inlineStr">
        <is>
          <t>PBINM</t>
        </is>
      </c>
      <c r="S210" s="56" t="n"/>
      <c r="T210" s="12" t="n"/>
      <c r="U210" s="12" t="n"/>
      <c r="V210" s="12" t="n"/>
      <c r="W210" s="91">
        <f>IF(AND(LEN(D450)&gt;=6,OR(LEFT(D450,1)="4",LEFT(D450,1)="5"),K450="9DRWM"),"SDRWM","")</f>
        <v/>
      </c>
      <c r="X210" s="123" t="n"/>
      <c r="Y210" s="122" t="n"/>
      <c r="Z210" s="122" t="n"/>
    </row>
    <row r="211" hidden="1" ht="12" customFormat="1" customHeight="1" s="46">
      <c r="A211" s="60" t="n"/>
      <c r="B211" s="61" t="inlineStr">
        <is>
          <t>...4</t>
        </is>
      </c>
      <c r="C211" s="61" t="inlineStr">
        <is>
          <t>0340</t>
        </is>
      </c>
      <c r="D211" s="60" t="n">
        <v>590633308</v>
      </c>
      <c r="L211" s="61" t="inlineStr">
        <is>
          <t>WIREWAY DUCT,E-PANEL,2170MM LG</t>
        </is>
      </c>
      <c r="M211" s="61" t="inlineStr">
        <is>
          <t>B 5906333XXR</t>
        </is>
      </c>
      <c r="N211" s="60" t="n">
        <v>1</v>
      </c>
      <c r="O211" s="60" t="n"/>
      <c r="P211" s="60" t="inlineStr">
        <is>
          <t>EA</t>
        </is>
      </c>
      <c r="Q211" s="60" t="n">
        <v>4</v>
      </c>
      <c r="R211" s="60" t="inlineStr">
        <is>
          <t>PBINM</t>
        </is>
      </c>
      <c r="S211" s="56" t="n"/>
      <c r="T211" s="12" t="n"/>
      <c r="U211" s="12" t="n"/>
      <c r="V211" s="12" t="n"/>
      <c r="W211" s="91">
        <f>IF(AND(LEN(D451)&gt;=6,OR(LEFT(D451,1)="4",LEFT(D451,1)="5"),K451="9DRWM"),"SDRWM","")</f>
        <v/>
      </c>
      <c r="X211" s="2" t="n"/>
    </row>
    <row r="212" hidden="1" ht="12" customFormat="1" customHeight="1" s="46">
      <c r="A212" s="60" t="n"/>
      <c r="B212" s="61" t="inlineStr">
        <is>
          <t>...4</t>
        </is>
      </c>
      <c r="C212" s="61" t="inlineStr">
        <is>
          <t>0342</t>
        </is>
      </c>
      <c r="D212" s="60" t="n">
        <v>590633311</v>
      </c>
      <c r="E212" t="n">
        <v>8</v>
      </c>
      <c r="F212" t="n">
        <v>5</v>
      </c>
      <c r="G212" t="inlineStr">
        <is>
          <t>9796502</t>
        </is>
      </c>
      <c r="H212" t="inlineStr">
        <is>
          <t>59796502</t>
        </is>
      </c>
      <c r="I212" t="n">
        <v>59796502</v>
      </c>
      <c r="J212" t="n">
        <v>59796502</v>
      </c>
      <c r="K212" t="n">
        <v>597965</v>
      </c>
      <c r="L212" s="61" t="inlineStr">
        <is>
          <t>WIREWAY DUCT,E-PANEL,440MM LG</t>
        </is>
      </c>
      <c r="M212" s="61" t="inlineStr">
        <is>
          <t>B 5906333XXR</t>
        </is>
      </c>
      <c r="N212" s="60" t="n">
        <v>1</v>
      </c>
      <c r="O212" s="60" t="n"/>
      <c r="P212" s="60" t="inlineStr">
        <is>
          <t>EA</t>
        </is>
      </c>
      <c r="Q212" s="60" t="n">
        <v>4</v>
      </c>
      <c r="R212" s="60" t="inlineStr">
        <is>
          <t>PBINM</t>
        </is>
      </c>
      <c r="S212" s="56" t="n"/>
      <c r="T212" s="12" t="n"/>
      <c r="U212" s="12" t="n"/>
      <c r="V212" s="12" t="n"/>
      <c r="W212" s="91">
        <f>IF(AND(LEN(D452)&gt;=6,OR(LEFT(D452,1)="4",LEFT(D452,1)="5"),K452="9DRWM"),"SDRWM","")</f>
        <v/>
      </c>
      <c r="X212" s="123" t="n"/>
      <c r="Y212" s="122" t="n"/>
      <c r="Z212" s="122" t="n"/>
    </row>
    <row r="213" hidden="1" ht="12" customFormat="1" customHeight="1" s="46">
      <c r="A213" s="60" t="n"/>
      <c r="B213" s="61" t="inlineStr">
        <is>
          <t>...4</t>
        </is>
      </c>
      <c r="C213" s="61" t="inlineStr">
        <is>
          <t>0344</t>
        </is>
      </c>
      <c r="D213" s="60" t="n">
        <v>590633312</v>
      </c>
      <c r="E213" t="n">
        <v>6</v>
      </c>
      <c r="F213" t="n">
        <v>5</v>
      </c>
      <c r="G213" t="inlineStr">
        <is>
          <t>98467</t>
        </is>
      </c>
      <c r="H213" t="inlineStr">
        <is>
          <t>598467</t>
        </is>
      </c>
      <c r="I213" t="n">
        <v>598467</v>
      </c>
      <c r="J213" t="n">
        <v>598467</v>
      </c>
      <c r="K213" t="n">
        <v>598467</v>
      </c>
      <c r="L213" s="61" t="inlineStr">
        <is>
          <t>WIREWAY DUCT,E-PANEL,210MM LG</t>
        </is>
      </c>
      <c r="M213" s="61" t="inlineStr">
        <is>
          <t>B 5906333XXR</t>
        </is>
      </c>
      <c r="N213" s="60" t="n">
        <v>1</v>
      </c>
      <c r="O213" s="60" t="n"/>
      <c r="P213" s="60" t="inlineStr">
        <is>
          <t>EA</t>
        </is>
      </c>
      <c r="Q213" s="60" t="n">
        <v>4</v>
      </c>
      <c r="R213" s="60" t="inlineStr">
        <is>
          <t>PBINM</t>
        </is>
      </c>
      <c r="S213" s="56" t="n"/>
      <c r="T213" s="12" t="n"/>
      <c r="U213" s="12" t="n"/>
      <c r="V213" s="12" t="n"/>
      <c r="W213" s="91">
        <f>IF(AND(LEN(D453)&gt;=6,OR(LEFT(D453,1)="4",LEFT(D453,1)="5"),K453="9DRWM"),"SDRWM","")</f>
        <v/>
      </c>
      <c r="X213" s="123" t="inlineStr">
        <is>
          <t>598467</t>
        </is>
      </c>
      <c r="Y213" s="122" t="n"/>
      <c r="Z213" s="122" t="n"/>
    </row>
    <row r="214" hidden="1" ht="12" customFormat="1" customHeight="1" s="46">
      <c r="A214" s="60" t="n"/>
      <c r="B214" s="61" t="inlineStr">
        <is>
          <t>...4</t>
        </is>
      </c>
      <c r="C214" s="61" t="inlineStr">
        <is>
          <t>0345</t>
        </is>
      </c>
      <c r="D214" s="60" t="n">
        <v>590633305</v>
      </c>
      <c r="L214" s="61" t="inlineStr">
        <is>
          <t>WIREWAY DUCT,E-PANEL,2100MM LG</t>
        </is>
      </c>
      <c r="M214" s="61" t="inlineStr">
        <is>
          <t>B 5906333XXR</t>
        </is>
      </c>
      <c r="N214" s="60" t="n">
        <v>0</v>
      </c>
      <c r="O214" s="60" t="n"/>
      <c r="P214" s="60" t="inlineStr">
        <is>
          <t>EA</t>
        </is>
      </c>
      <c r="Q214" s="60" t="n">
        <v>4</v>
      </c>
      <c r="R214" s="60" t="inlineStr">
        <is>
          <t>PBINM</t>
        </is>
      </c>
      <c r="S214" s="56" t="n"/>
      <c r="T214" s="12" t="n"/>
      <c r="U214" s="12" t="n"/>
      <c r="V214" s="12" t="n"/>
      <c r="W214" s="91">
        <f>IF(AND(LEN(D454)&gt;=6,OR(LEFT(D454,1)="4",LEFT(D454,1)="5"),K454="9DRWM"),"SDRWM","")</f>
        <v/>
      </c>
      <c r="X214" s="2" t="n"/>
    </row>
    <row r="215" hidden="1" ht="12" customFormat="1" customHeight="1" s="46">
      <c r="A215" s="60" t="n"/>
      <c r="B215" s="61" t="inlineStr">
        <is>
          <t>...4</t>
        </is>
      </c>
      <c r="C215" s="61" t="inlineStr">
        <is>
          <t>0350</t>
        </is>
      </c>
      <c r="D215" s="60" t="n">
        <v>590633306</v>
      </c>
      <c r="E215" t="n">
        <v>6</v>
      </c>
      <c r="F215" t="n">
        <v>5</v>
      </c>
      <c r="G215" t="inlineStr">
        <is>
          <t>98468</t>
        </is>
      </c>
      <c r="H215" t="inlineStr">
        <is>
          <t>598468</t>
        </is>
      </c>
      <c r="I215" t="n">
        <v>598468</v>
      </c>
      <c r="J215" t="n">
        <v>598468</v>
      </c>
      <c r="K215" t="n">
        <v>598468</v>
      </c>
      <c r="L215" s="61" t="inlineStr">
        <is>
          <t>WIREWAY DUCT,E-PANEL,265MM LG</t>
        </is>
      </c>
      <c r="M215" s="61" t="inlineStr">
        <is>
          <t>B 5906333XXR</t>
        </is>
      </c>
      <c r="N215" s="60" t="n">
        <v>0</v>
      </c>
      <c r="O215" s="60" t="n"/>
      <c r="P215" s="60" t="inlineStr">
        <is>
          <t>EA</t>
        </is>
      </c>
      <c r="Q215" s="60" t="n">
        <v>4</v>
      </c>
      <c r="R215" s="60" t="inlineStr">
        <is>
          <t>PBINM</t>
        </is>
      </c>
      <c r="S215" s="56" t="n"/>
      <c r="T215" s="12" t="n"/>
      <c r="U215" s="12" t="n"/>
      <c r="V215" s="12" t="n"/>
      <c r="W215" s="91">
        <f>IF(AND(LEN(D455)&gt;=6,OR(LEFT(D455,1)="4",LEFT(D455,1)="5"),K455="9DRWM"),"SDRWM","")</f>
        <v/>
      </c>
      <c r="X215" s="123" t="inlineStr">
        <is>
          <t>598468</t>
        </is>
      </c>
      <c r="Y215" s="122" t="n"/>
      <c r="Z215" s="122" t="n"/>
    </row>
    <row r="216" hidden="1" ht="12" customFormat="1" customHeight="1" s="46">
      <c r="A216" s="60" t="n"/>
      <c r="B216" s="61" t="inlineStr">
        <is>
          <t>...4</t>
        </is>
      </c>
      <c r="C216" s="61" t="inlineStr">
        <is>
          <t>0355</t>
        </is>
      </c>
      <c r="D216" s="60" t="n">
        <v>590633307</v>
      </c>
      <c r="E216" t="n">
        <v>6</v>
      </c>
      <c r="F216" t="n">
        <v>5</v>
      </c>
      <c r="G216" t="inlineStr">
        <is>
          <t>98477</t>
        </is>
      </c>
      <c r="H216" t="inlineStr">
        <is>
          <t>598477</t>
        </is>
      </c>
      <c r="I216" t="n">
        <v>598477</v>
      </c>
      <c r="J216" t="n">
        <v>598477</v>
      </c>
      <c r="K216" t="n">
        <v>598477</v>
      </c>
      <c r="L216" s="61" t="inlineStr">
        <is>
          <t>WIREWAY DUCT,E-PANEL,395MM LG</t>
        </is>
      </c>
      <c r="M216" s="61" t="inlineStr">
        <is>
          <t>B 5906333XXR</t>
        </is>
      </c>
      <c r="N216" s="60" t="n">
        <v>0</v>
      </c>
      <c r="O216" s="60" t="n"/>
      <c r="P216" s="60" t="inlineStr">
        <is>
          <t>EA</t>
        </is>
      </c>
      <c r="Q216" s="60" t="n">
        <v>4</v>
      </c>
      <c r="R216" s="60" t="inlineStr">
        <is>
          <t>PBINM</t>
        </is>
      </c>
      <c r="S216" s="56" t="n"/>
      <c r="T216" s="12" t="n"/>
      <c r="U216" s="12" t="n"/>
      <c r="V216" s="12" t="n"/>
      <c r="W216" s="91">
        <f>IF(AND(LEN(D456)&gt;=6,OR(LEFT(D456,1)="4",LEFT(D456,1)="5"),K456="9DRWM"),"SDRWM","")</f>
        <v/>
      </c>
      <c r="X216" s="123" t="inlineStr">
        <is>
          <t>598477</t>
        </is>
      </c>
      <c r="Y216" s="122" t="n"/>
      <c r="Z216" s="122" t="n"/>
    </row>
    <row r="217" hidden="1" ht="12" customFormat="1" customHeight="1" s="46">
      <c r="A217" s="60" t="n"/>
      <c r="B217" s="61" t="inlineStr">
        <is>
          <t>...4</t>
        </is>
      </c>
      <c r="C217" s="61" t="inlineStr">
        <is>
          <t>0360</t>
        </is>
      </c>
      <c r="D217" s="60" t="n">
        <v>590633401</v>
      </c>
      <c r="L217" s="61" t="inlineStr">
        <is>
          <t>STEEL DIN RAIL,E-PANEL,100MM</t>
        </is>
      </c>
      <c r="M217" s="61" t="inlineStr">
        <is>
          <t>B 5906334XXR</t>
        </is>
      </c>
      <c r="N217" s="60" t="n">
        <v>1</v>
      </c>
      <c r="O217" s="60" t="n"/>
      <c r="P217" s="60" t="inlineStr">
        <is>
          <t>EA</t>
        </is>
      </c>
      <c r="Q217" s="60" t="n">
        <v>4</v>
      </c>
      <c r="R217" s="60" t="inlineStr">
        <is>
          <t>PBINM</t>
        </is>
      </c>
      <c r="S217" s="56" t="n"/>
      <c r="T217" s="12" t="n"/>
      <c r="U217" s="12" t="n"/>
      <c r="V217" s="12" t="n"/>
      <c r="W217" s="91">
        <f>IF(AND(LEN(D457)&gt;=6,OR(LEFT(D457,1)="4",LEFT(D457,1)="5"),K457="9DRWM"),"SDRWM","")</f>
        <v/>
      </c>
      <c r="X217" s="2" t="n"/>
    </row>
    <row r="218" hidden="1" ht="12" customFormat="1" customHeight="1" s="46">
      <c r="A218" s="60" t="n"/>
      <c r="B218" s="61" t="inlineStr">
        <is>
          <t>...4</t>
        </is>
      </c>
      <c r="C218" s="61" t="inlineStr">
        <is>
          <t>0365</t>
        </is>
      </c>
      <c r="D218" s="60" t="n">
        <v>590633404</v>
      </c>
      <c r="E218" t="n">
        <v>6</v>
      </c>
      <c r="F218" t="n">
        <v>5</v>
      </c>
      <c r="G218" t="inlineStr">
        <is>
          <t>98484</t>
        </is>
      </c>
      <c r="H218" t="inlineStr">
        <is>
          <t>598484</t>
        </is>
      </c>
      <c r="I218" t="n">
        <v>598484</v>
      </c>
      <c r="J218" t="n">
        <v>598484</v>
      </c>
      <c r="K218" t="n">
        <v>598484</v>
      </c>
      <c r="L218" s="61" t="inlineStr">
        <is>
          <t>STEEL DIN RAIL,E-PANEL,270MM</t>
        </is>
      </c>
      <c r="M218" s="61" t="inlineStr">
        <is>
          <t>B 5906334XXR</t>
        </is>
      </c>
      <c r="N218" s="60" t="n">
        <v>1</v>
      </c>
      <c r="O218" s="60" t="n"/>
      <c r="P218" s="60" t="inlineStr">
        <is>
          <t>EA</t>
        </is>
      </c>
      <c r="Q218" s="60" t="n">
        <v>4</v>
      </c>
      <c r="R218" s="60" t="inlineStr">
        <is>
          <t>PBINM</t>
        </is>
      </c>
      <c r="S218" s="56" t="n"/>
      <c r="T218" s="12" t="n"/>
      <c r="U218" s="12" t="n"/>
      <c r="V218" s="12" t="n"/>
      <c r="W218" s="91">
        <f>IF(AND(LEN(D458)&gt;=6,OR(LEFT(D458,1)="4",LEFT(D458,1)="5"),K458="9DRWM"),"SDRWM","")</f>
        <v/>
      </c>
      <c r="X218" s="123" t="inlineStr">
        <is>
          <t>598484</t>
        </is>
      </c>
      <c r="Y218" s="122" t="n"/>
      <c r="Z218" s="122" t="n"/>
    </row>
    <row r="219" hidden="1" ht="12" customFormat="1" customHeight="1" s="46">
      <c r="A219" s="60" t="n"/>
      <c r="B219" s="61" t="inlineStr">
        <is>
          <t>...4</t>
        </is>
      </c>
      <c r="C219" s="61" t="inlineStr">
        <is>
          <t>0370</t>
        </is>
      </c>
      <c r="D219" s="60" t="n">
        <v>590633407</v>
      </c>
      <c r="E219" t="n">
        <v>8</v>
      </c>
      <c r="F219" t="n">
        <v>5</v>
      </c>
      <c r="G219" t="inlineStr">
        <is>
          <t>9849001</t>
        </is>
      </c>
      <c r="H219" t="inlineStr">
        <is>
          <t>59849001</t>
        </is>
      </c>
      <c r="I219" t="n">
        <v>59849001</v>
      </c>
      <c r="J219" t="n">
        <v>59849001</v>
      </c>
      <c r="K219" t="n">
        <v>598490</v>
      </c>
      <c r="L219" s="61" t="inlineStr">
        <is>
          <t>STEEL DIN RAIL,E-PANEL,650MM</t>
        </is>
      </c>
      <c r="M219" s="61" t="inlineStr">
        <is>
          <t>B 5906334XXR</t>
        </is>
      </c>
      <c r="N219" s="60" t="n">
        <v>1</v>
      </c>
      <c r="O219" s="60" t="n"/>
      <c r="P219" s="60" t="inlineStr">
        <is>
          <t>EA</t>
        </is>
      </c>
      <c r="Q219" s="60" t="n">
        <v>4</v>
      </c>
      <c r="R219" s="60" t="inlineStr">
        <is>
          <t>PBINM</t>
        </is>
      </c>
      <c r="S219" s="56" t="n"/>
      <c r="T219" s="12" t="n"/>
      <c r="U219" s="12" t="n"/>
      <c r="V219" s="12" t="n"/>
      <c r="W219" s="91">
        <f>IF(AND(LEN(D459)&gt;=6,OR(LEFT(D459,1)="4",LEFT(D459,1)="5"),K459="9DRWM"),"SDRWM","")</f>
        <v/>
      </c>
      <c r="X219" s="123" t="inlineStr">
        <is>
          <t>59849001</t>
        </is>
      </c>
      <c r="Y219" s="122" t="n"/>
      <c r="Z219" s="122" t="n"/>
    </row>
    <row r="220" hidden="1" ht="12" customFormat="1" customHeight="1" s="46">
      <c r="A220" s="60" t="n"/>
      <c r="B220" s="61" t="inlineStr">
        <is>
          <t>...4</t>
        </is>
      </c>
      <c r="C220" s="61" t="inlineStr">
        <is>
          <t>0375</t>
        </is>
      </c>
      <c r="D220" s="60" t="n">
        <v>590633408</v>
      </c>
      <c r="L220" s="61" t="inlineStr">
        <is>
          <t>STEEL DIN RAIL,E-PANEL,1100MM</t>
        </is>
      </c>
      <c r="M220" s="61" t="inlineStr">
        <is>
          <t>B 5906334XXR</t>
        </is>
      </c>
      <c r="N220" s="60" t="n">
        <v>1</v>
      </c>
      <c r="O220" s="60" t="n"/>
      <c r="P220" s="60" t="inlineStr">
        <is>
          <t>EA</t>
        </is>
      </c>
      <c r="Q220" s="60" t="n">
        <v>4</v>
      </c>
      <c r="R220" s="60" t="inlineStr">
        <is>
          <t>PBINM</t>
        </is>
      </c>
      <c r="S220" s="56" t="n"/>
      <c r="T220" s="12" t="n"/>
      <c r="U220" s="12" t="n"/>
      <c r="V220" s="12" t="n"/>
      <c r="W220" s="91">
        <f>IF(AND(LEN(D460)&gt;=6,OR(LEFT(D460,1)="4",LEFT(D460,1)="5"),K460="9DRWM"),"SDRWM","")</f>
        <v/>
      </c>
      <c r="X220" s="2" t="n"/>
    </row>
    <row r="221" hidden="1" ht="12" customFormat="1" customHeight="1" s="46">
      <c r="A221" s="60" t="n"/>
      <c r="B221" s="61" t="inlineStr">
        <is>
          <t>...4</t>
        </is>
      </c>
      <c r="C221" s="61" t="inlineStr">
        <is>
          <t>0380</t>
        </is>
      </c>
      <c r="D221" s="60" t="n">
        <v>590633403</v>
      </c>
      <c r="E221" t="n">
        <v>8</v>
      </c>
      <c r="F221" t="n">
        <v>5</v>
      </c>
      <c r="G221" t="inlineStr">
        <is>
          <t>9849101</t>
        </is>
      </c>
      <c r="H221" t="inlineStr">
        <is>
          <t>59849101</t>
        </is>
      </c>
      <c r="I221" t="n">
        <v>59849101</v>
      </c>
      <c r="J221" t="n">
        <v>59849101</v>
      </c>
      <c r="K221" t="n">
        <v>598491</v>
      </c>
      <c r="L221" s="61" t="inlineStr">
        <is>
          <t>STEEL DIN RAIL,E-PANEL,245MM</t>
        </is>
      </c>
      <c r="M221" s="61" t="inlineStr">
        <is>
          <t>B 5906334XXR</t>
        </is>
      </c>
      <c r="N221" s="60" t="n">
        <v>0</v>
      </c>
      <c r="O221" s="60" t="n"/>
      <c r="P221" s="60" t="inlineStr">
        <is>
          <t>EA</t>
        </is>
      </c>
      <c r="Q221" s="60" t="n">
        <v>4</v>
      </c>
      <c r="R221" s="60" t="inlineStr">
        <is>
          <t>PBINM</t>
        </is>
      </c>
      <c r="S221" s="56" t="n"/>
      <c r="T221" s="12" t="n"/>
      <c r="U221" s="12" t="n"/>
      <c r="V221" s="12" t="n"/>
      <c r="W221" s="91">
        <f>IF(AND(LEN(D461)&gt;=6,OR(LEFT(D461,1)="4",LEFT(D461,1)="5"),K461="9DRWM"),"SDRWM","")</f>
        <v/>
      </c>
      <c r="X221" s="123" t="inlineStr">
        <is>
          <t>59849101</t>
        </is>
      </c>
      <c r="Y221" s="122" t="n"/>
      <c r="Z221" s="122" t="n"/>
    </row>
    <row r="222" hidden="1" ht="12" customFormat="1" customHeight="1" s="46">
      <c r="A222" s="60" t="n"/>
      <c r="B222" s="61" t="inlineStr">
        <is>
          <t>...4</t>
        </is>
      </c>
      <c r="C222" s="61" t="inlineStr">
        <is>
          <t>0385</t>
        </is>
      </c>
      <c r="D222" s="60" t="n">
        <v>590633405</v>
      </c>
      <c r="E222" t="n">
        <v>6</v>
      </c>
      <c r="F222" t="n">
        <v>5</v>
      </c>
      <c r="G222" t="inlineStr">
        <is>
          <t>98501</t>
        </is>
      </c>
      <c r="H222" t="inlineStr">
        <is>
          <t>598501</t>
        </is>
      </c>
      <c r="I222" t="n">
        <v>598501</v>
      </c>
      <c r="J222" t="n">
        <v>598501</v>
      </c>
      <c r="K222" t="n">
        <v>598501</v>
      </c>
      <c r="L222" s="61" t="inlineStr">
        <is>
          <t>STEEL DIN RAIL,E-PANEL,370MM</t>
        </is>
      </c>
      <c r="M222" s="61" t="inlineStr">
        <is>
          <t>B 5906334XXR</t>
        </is>
      </c>
      <c r="N222" s="60" t="n">
        <v>0</v>
      </c>
      <c r="O222" s="60" t="n"/>
      <c r="P222" s="60" t="inlineStr">
        <is>
          <t>EA</t>
        </is>
      </c>
      <c r="Q222" s="60" t="n">
        <v>4</v>
      </c>
      <c r="R222" s="60" t="inlineStr">
        <is>
          <t>PBINM</t>
        </is>
      </c>
      <c r="S222" s="56" t="n"/>
      <c r="T222" s="12" t="n"/>
      <c r="U222" s="12" t="n"/>
      <c r="V222" s="12" t="n"/>
      <c r="W222" s="91">
        <f>IF(AND(LEN(D462)&gt;=6,OR(LEFT(D462,1)="4",LEFT(D462,1)="5"),K462="9DRWM"),"SDRWM","")</f>
        <v/>
      </c>
      <c r="X222" s="123" t="inlineStr">
        <is>
          <t>598501</t>
        </is>
      </c>
      <c r="Y222" s="122" t="n"/>
      <c r="Z222" s="122" t="n"/>
    </row>
    <row r="223" hidden="1" ht="12" customFormat="1" customHeight="1" s="46">
      <c r="A223" s="60" t="n"/>
      <c r="B223" s="61" t="inlineStr">
        <is>
          <t>...4</t>
        </is>
      </c>
      <c r="C223" s="61" t="inlineStr">
        <is>
          <t>0490</t>
        </is>
      </c>
      <c r="D223" s="60" t="n">
        <v>582866</v>
      </c>
      <c r="L223" s="61" t="inlineStr">
        <is>
          <t>ELECTRICAL PANEL LABEL KIT</t>
        </is>
      </c>
      <c r="M223" s="61" t="inlineStr">
        <is>
          <t>B 582866   R  D</t>
        </is>
      </c>
      <c r="N223" s="60" t="n">
        <v>1</v>
      </c>
      <c r="O223" s="60" t="n"/>
      <c r="P223" s="60" t="inlineStr">
        <is>
          <t>EA</t>
        </is>
      </c>
      <c r="Q223" s="60" t="n">
        <v>4</v>
      </c>
      <c r="R223" s="60" t="inlineStr">
        <is>
          <t>HW</t>
        </is>
      </c>
      <c r="S223" s="56" t="n"/>
      <c r="T223" s="12" t="n"/>
      <c r="U223" s="12" t="n"/>
      <c r="V223" s="12" t="n"/>
      <c r="W223" s="91">
        <f>IF(AND(LEN(D470)&gt;=6,OR(LEFT(D470,1)="4",LEFT(D470,1)="5"),K470="9DRWM"),"SDRWM","")</f>
        <v/>
      </c>
      <c r="X223" s="2" t="n"/>
    </row>
    <row r="224" ht="12" customFormat="1" customHeight="1" s="46">
      <c r="A224" s="60" t="n"/>
      <c r="B224" s="61" t="inlineStr">
        <is>
          <t>....5</t>
        </is>
      </c>
      <c r="C224" s="61" t="inlineStr">
        <is>
          <t>0075</t>
        </is>
      </c>
      <c r="D224" s="60" t="n">
        <v>59586001</v>
      </c>
      <c r="E224" t="n">
        <v>6</v>
      </c>
      <c r="F224" t="n">
        <v>5</v>
      </c>
      <c r="G224" t="inlineStr">
        <is>
          <t>98545</t>
        </is>
      </c>
      <c r="H224" t="inlineStr">
        <is>
          <t>598545</t>
        </is>
      </c>
      <c r="I224" t="n">
        <v>598545</v>
      </c>
      <c r="J224" t="n">
        <v>598545</v>
      </c>
      <c r="K224" t="n">
        <v>598545</v>
      </c>
      <c r="L224" s="61" t="inlineStr">
        <is>
          <t>KEYBOARD SUPPORT BRACKET,LR</t>
        </is>
      </c>
      <c r="M224" s="61" t="inlineStr">
        <is>
          <t>D 595860XX ** A</t>
        </is>
      </c>
      <c r="N224" s="60" t="n">
        <v>1</v>
      </c>
      <c r="O224" s="60" t="n"/>
      <c r="P224" s="60" t="inlineStr">
        <is>
          <t>EA</t>
        </is>
      </c>
      <c r="Q224" s="60" t="n">
        <v>4</v>
      </c>
      <c r="R224" s="60" t="inlineStr">
        <is>
          <t>KITM</t>
        </is>
      </c>
      <c r="S224" s="56" t="n"/>
      <c r="T224" s="12" t="n"/>
      <c r="U224" s="12" t="n"/>
      <c r="V224" s="12" t="n"/>
      <c r="W224" s="91">
        <f>IF(AND(LEN(D478)&gt;=6,OR(LEFT(D478,1)="4",LEFT(D478,1)="5"),K478="9DRWM"),"SDRWM","")</f>
        <v/>
      </c>
      <c r="X224" s="123" t="inlineStr">
        <is>
          <t>598545</t>
        </is>
      </c>
      <c r="Y224" s="122" t="n"/>
      <c r="Z224" s="122" t="n"/>
    </row>
    <row r="225" ht="12" customFormat="1" customHeight="1" s="46">
      <c r="A225" s="60" t="n"/>
      <c r="B225" s="61" t="inlineStr">
        <is>
          <t>.....6</t>
        </is>
      </c>
      <c r="C225" s="61" t="inlineStr">
        <is>
          <t>0010</t>
        </is>
      </c>
      <c r="D225" s="60" t="n">
        <v>59586301</v>
      </c>
      <c r="E225" t="n">
        <v>6</v>
      </c>
      <c r="F225" t="n">
        <v>5</v>
      </c>
      <c r="G225" t="inlineStr">
        <is>
          <t>98545</t>
        </is>
      </c>
      <c r="H225" t="inlineStr">
        <is>
          <t>598545</t>
        </is>
      </c>
      <c r="I225" t="n">
        <v>598545</v>
      </c>
      <c r="J225" t="n">
        <v>598545</v>
      </c>
      <c r="K225" t="n">
        <v>598545</v>
      </c>
      <c r="L225" s="61" t="inlineStr">
        <is>
          <t>KEYBOARD CPU PANEL,LR,2043MK5</t>
        </is>
      </c>
      <c r="M225" s="61" t="inlineStr">
        <is>
          <t>D  595863XXR  B</t>
        </is>
      </c>
      <c r="N225" s="60" t="n">
        <v>1</v>
      </c>
      <c r="O225" s="60" t="n"/>
      <c r="P225" s="60" t="inlineStr">
        <is>
          <t>EA</t>
        </is>
      </c>
      <c r="Q225" s="60" t="n">
        <v>4</v>
      </c>
      <c r="R225" s="60" t="inlineStr">
        <is>
          <t>KITM</t>
        </is>
      </c>
      <c r="S225" s="56" t="n"/>
      <c r="T225" s="12" t="n"/>
      <c r="U225" s="12" t="n"/>
      <c r="V225" s="12" t="n"/>
      <c r="W225" s="91">
        <f>IF(AND(LEN(D479)&gt;=6,OR(LEFT(D479,1)="4",LEFT(D479,1)="5"),K479="9DRWM"),"SDRWM","")</f>
        <v/>
      </c>
      <c r="X225" s="123" t="inlineStr">
        <is>
          <t>598545</t>
        </is>
      </c>
      <c r="Y225" s="122" t="n"/>
      <c r="Z225" s="122" t="n"/>
    </row>
    <row r="226" ht="12" customFormat="1" customHeight="1" s="46">
      <c r="A226" s="60" t="n"/>
      <c r="B226" s="61" t="inlineStr">
        <is>
          <t>..3</t>
        </is>
      </c>
      <c r="C226" s="61" t="inlineStr">
        <is>
          <t>0020</t>
        </is>
      </c>
      <c r="D226" s="60" t="n">
        <v>595865</v>
      </c>
      <c r="E226" t="n">
        <v>6</v>
      </c>
      <c r="F226" t="n">
        <v>5</v>
      </c>
      <c r="G226" t="inlineStr">
        <is>
          <t>98626</t>
        </is>
      </c>
      <c r="H226" t="inlineStr">
        <is>
          <t>598626</t>
        </is>
      </c>
      <c r="I226" t="n">
        <v>598626</v>
      </c>
      <c r="J226" t="n">
        <v>598626</v>
      </c>
      <c r="K226" t="n">
        <v>598626</v>
      </c>
      <c r="L226" s="61" t="inlineStr">
        <is>
          <t>POWER SWITCH MTG BRKT</t>
        </is>
      </c>
      <c r="M226" s="61" t="inlineStr">
        <is>
          <t>B 595865   R  D</t>
        </is>
      </c>
      <c r="N226" s="60" t="n">
        <v>1</v>
      </c>
      <c r="O226" s="60" t="n"/>
      <c r="P226" s="60" t="inlineStr">
        <is>
          <t>EA</t>
        </is>
      </c>
      <c r="Q226" s="60" t="n">
        <v>4</v>
      </c>
      <c r="R226" s="60" t="inlineStr">
        <is>
          <t>KITM</t>
        </is>
      </c>
      <c r="S226" s="56" t="n"/>
      <c r="T226" s="12" t="n"/>
      <c r="U226" s="12" t="n"/>
      <c r="V226" s="12" t="n"/>
      <c r="W226" s="91">
        <f>IF(AND(LEN(D480)&gt;=6,OR(LEFT(D480,1)="4",LEFT(D480,1)="5"),K480="9DRWM"),"SDRWM","")</f>
        <v/>
      </c>
      <c r="X226" s="123" t="inlineStr">
        <is>
          <t>598626</t>
        </is>
      </c>
      <c r="Y226" s="122" t="n"/>
      <c r="Z226" s="122" t="n"/>
    </row>
    <row r="227" hidden="1" ht="12" customFormat="1" customHeight="1" s="46">
      <c r="A227" s="60" t="n"/>
      <c r="B227" s="61" t="inlineStr">
        <is>
          <t>...4</t>
        </is>
      </c>
      <c r="C227" s="61" t="inlineStr">
        <is>
          <t>0660</t>
        </is>
      </c>
      <c r="D227" s="60" t="n">
        <v>58722201</v>
      </c>
      <c r="E227" t="n">
        <v>6</v>
      </c>
      <c r="F227" t="n">
        <v>5</v>
      </c>
      <c r="G227" t="inlineStr">
        <is>
          <t>98702</t>
        </is>
      </c>
      <c r="H227" t="inlineStr">
        <is>
          <t>598702</t>
        </is>
      </c>
      <c r="I227" t="n">
        <v>598702</v>
      </c>
      <c r="J227" t="n">
        <v>598702</v>
      </c>
      <c r="K227" t="n">
        <v>598702</v>
      </c>
      <c r="L227" s="61" t="inlineStr">
        <is>
          <t>HARNESS 1809 HEATER HV NO TS3</t>
        </is>
      </c>
      <c r="M227" s="61" t="inlineStr">
        <is>
          <t>A 58722201 R  A</t>
        </is>
      </c>
      <c r="N227" s="60" t="n">
        <v>1</v>
      </c>
      <c r="O227" s="60" t="n"/>
      <c r="P227" s="60" t="inlineStr">
        <is>
          <t>EA</t>
        </is>
      </c>
      <c r="Q227" s="60" t="n">
        <v>4</v>
      </c>
      <c r="R227" s="60" t="inlineStr">
        <is>
          <t>PBINM</t>
        </is>
      </c>
      <c r="S227" s="56" t="n"/>
      <c r="T227" s="12" t="n"/>
      <c r="U227" s="12" t="n"/>
      <c r="V227" s="12" t="n"/>
      <c r="W227" s="91">
        <f>IF(AND(LEN(D481)&gt;=6,OR(LEFT(D481,1)="4",LEFT(D481,1)="5"),K481="9DRWM"),"SDRWM","")</f>
        <v/>
      </c>
      <c r="X227" s="123" t="inlineStr">
        <is>
          <t>598702</t>
        </is>
      </c>
      <c r="Y227" s="122" t="n"/>
      <c r="Z227" s="122" t="n"/>
    </row>
    <row r="228" hidden="1" ht="12" customFormat="1" customHeight="1" s="46">
      <c r="A228" s="60" t="n"/>
      <c r="B228" s="61" t="inlineStr">
        <is>
          <t>..3</t>
        </is>
      </c>
      <c r="C228" s="61" t="inlineStr">
        <is>
          <t>0040</t>
        </is>
      </c>
      <c r="D228" s="60" t="n">
        <v>5900888</v>
      </c>
      <c r="E228" t="n">
        <v>8</v>
      </c>
      <c r="F228" t="n">
        <v>5</v>
      </c>
      <c r="G228" t="inlineStr">
        <is>
          <t>9870701</t>
        </is>
      </c>
      <c r="H228" t="inlineStr">
        <is>
          <t>59870701</t>
        </is>
      </c>
      <c r="I228" t="n">
        <v>59870701</v>
      </c>
      <c r="J228" t="n">
        <v>59870701</v>
      </c>
      <c r="K228" t="n">
        <v>598707</v>
      </c>
      <c r="L228" s="61" t="inlineStr">
        <is>
          <t>ELECT COMP KIT 1809 HV, MK7</t>
        </is>
      </c>
      <c r="M228" s="61" t="inlineStr">
        <is>
          <t>BM5900888  -SPL</t>
        </is>
      </c>
      <c r="N228" s="60" t="n">
        <v>1</v>
      </c>
      <c r="O228" s="60" t="n"/>
      <c r="P228" s="60" t="inlineStr">
        <is>
          <t>EA</t>
        </is>
      </c>
      <c r="Q228" s="60" t="n">
        <v>0</v>
      </c>
      <c r="R228" s="60" t="n"/>
      <c r="S228" s="56" t="n"/>
      <c r="T228" s="12" t="n"/>
      <c r="U228" s="12" t="n"/>
      <c r="V228" s="12" t="n"/>
      <c r="W228" s="91">
        <f>IF(AND(LEN(D485)&gt;=6,OR(LEFT(D485,1)="4",LEFT(D485,1)="5"),K485="9DRWM"),"SDRWM","")</f>
        <v/>
      </c>
      <c r="X228" s="123" t="inlineStr">
        <is>
          <t>59870701</t>
        </is>
      </c>
      <c r="Y228" s="122" t="n"/>
      <c r="Z228" s="122" t="n"/>
    </row>
    <row r="229" hidden="1" ht="12" customFormat="1" customHeight="1" s="46">
      <c r="A229" s="60" t="n"/>
      <c r="B229" s="61" t="inlineStr">
        <is>
          <t>...4</t>
        </is>
      </c>
      <c r="C229" s="61" t="inlineStr">
        <is>
          <t>0070</t>
        </is>
      </c>
      <c r="D229" s="60" t="n">
        <v>589682</v>
      </c>
      <c r="E229" t="n">
        <v>6</v>
      </c>
      <c r="F229" t="n">
        <v>5</v>
      </c>
      <c r="G229" t="inlineStr">
        <is>
          <t>98740</t>
        </is>
      </c>
      <c r="H229" t="inlineStr">
        <is>
          <t>598740</t>
        </is>
      </c>
      <c r="I229" t="n">
        <v>598740</v>
      </c>
      <c r="J229" t="n">
        <v>598740</v>
      </c>
      <c r="K229" t="n">
        <v>598740</v>
      </c>
      <c r="L229" s="61" t="inlineStr">
        <is>
          <t>LIGHT TOWER ASY,24VDC LED, MK3</t>
        </is>
      </c>
      <c r="M229" s="61" t="inlineStr">
        <is>
          <t>BM589682   ** B</t>
        </is>
      </c>
      <c r="N229" s="60" t="n">
        <v>1</v>
      </c>
      <c r="O229" s="60" t="n"/>
      <c r="P229" s="60" t="inlineStr">
        <is>
          <t>EA</t>
        </is>
      </c>
      <c r="Q229" s="60" t="n">
        <v>0</v>
      </c>
      <c r="R229" s="60" t="n"/>
      <c r="S229" s="56" t="n"/>
      <c r="T229" s="12" t="n"/>
      <c r="U229" s="12" t="n"/>
      <c r="V229" s="12" t="n"/>
      <c r="W229" s="91">
        <f>IF(AND(LEN(D492)&gt;=6,OR(LEFT(D492,1)="4",LEFT(D492,1)="5"),K492="9DRWM"),"SDRWM","")</f>
        <v/>
      </c>
      <c r="X229" s="122" t="inlineStr">
        <is>
          <t>598740</t>
        </is>
      </c>
      <c r="Y229" s="122" t="n"/>
      <c r="Z229" s="122" t="n"/>
    </row>
    <row r="230" ht="12" customFormat="1" customHeight="1" s="46">
      <c r="A230" s="60" t="n"/>
      <c r="B230" s="61" t="inlineStr">
        <is>
          <t>.....6</t>
        </is>
      </c>
      <c r="C230" s="61" t="inlineStr">
        <is>
          <t>0010</t>
        </is>
      </c>
      <c r="D230" s="60" t="n">
        <v>59586901</v>
      </c>
      <c r="L230" s="61" t="inlineStr">
        <is>
          <t>PANEL,CORNER FLOWMT,2043MK5 LR</t>
        </is>
      </c>
      <c r="M230" s="61" t="inlineStr">
        <is>
          <t>D 595869XX R  C</t>
        </is>
      </c>
      <c r="N230" s="60" t="n">
        <v>1</v>
      </c>
      <c r="O230" s="60" t="n"/>
      <c r="P230" s="60" t="inlineStr">
        <is>
          <t>EA</t>
        </is>
      </c>
      <c r="Q230" s="60" t="n">
        <v>4</v>
      </c>
      <c r="R230" s="60" t="inlineStr">
        <is>
          <t>KITM</t>
        </is>
      </c>
      <c r="S230" s="56" t="n"/>
      <c r="T230" s="12" t="n"/>
      <c r="U230" s="12" t="n"/>
      <c r="V230" s="12" t="n"/>
      <c r="W230" s="91">
        <f>IF(AND(LEN(D494)&gt;=6,OR(LEFT(D494,1)="4",LEFT(D494,1)="5"),K494="9DRWM"),"SDRWM","")</f>
        <v/>
      </c>
    </row>
    <row r="231" ht="12" customFormat="1" customHeight="1" s="46">
      <c r="A231" s="60" t="n"/>
      <c r="B231" s="61" t="inlineStr">
        <is>
          <t>....5</t>
        </is>
      </c>
      <c r="C231" s="61" t="inlineStr">
        <is>
          <t>0010</t>
        </is>
      </c>
      <c r="D231" s="60" t="n">
        <v>59586901</v>
      </c>
      <c r="E231" t="n">
        <v>8</v>
      </c>
      <c r="F231" t="n">
        <v>5</v>
      </c>
      <c r="G231" t="inlineStr">
        <is>
          <t>9877502</t>
        </is>
      </c>
      <c r="H231" t="inlineStr">
        <is>
          <t>59877502</t>
        </is>
      </c>
      <c r="I231" t="n">
        <v>59877502</v>
      </c>
      <c r="J231" t="n">
        <v>59877502</v>
      </c>
      <c r="K231" t="n">
        <v>598775</v>
      </c>
      <c r="L231" s="61" t="inlineStr">
        <is>
          <t>PANEL,CORNER FLOWMT,2043MK5 LR</t>
        </is>
      </c>
      <c r="M231" s="61" t="inlineStr">
        <is>
          <t>D 595869XX R  C</t>
        </is>
      </c>
      <c r="N231" s="60" t="n">
        <v>-1</v>
      </c>
      <c r="O231" s="60" t="n"/>
      <c r="P231" s="60" t="inlineStr">
        <is>
          <t>EA</t>
        </is>
      </c>
      <c r="Q231" s="60" t="n">
        <v>4</v>
      </c>
      <c r="R231" s="60" t="inlineStr">
        <is>
          <t>KITM</t>
        </is>
      </c>
      <c r="S231" s="56" t="n"/>
      <c r="T231" s="12" t="n"/>
      <c r="U231" s="12" t="n"/>
      <c r="V231" s="12" t="n"/>
      <c r="W231" s="91">
        <f>IF(AND(LEN(D495)&gt;=6,OR(LEFT(D495,1)="4",LEFT(D495,1)="5"),K495="9DRWM"),"SDRWM","")</f>
        <v/>
      </c>
      <c r="X231" s="122" t="inlineStr">
        <is>
          <t>59877502</t>
        </is>
      </c>
      <c r="Y231" s="122" t="n"/>
      <c r="Z231" s="122" t="n"/>
    </row>
    <row r="232" ht="12" customFormat="1" customHeight="1" s="46">
      <c r="A232" s="60" t="n"/>
      <c r="B232" s="61" t="inlineStr">
        <is>
          <t>....5</t>
        </is>
      </c>
      <c r="C232" s="61" t="inlineStr">
        <is>
          <t>0140</t>
        </is>
      </c>
      <c r="D232" s="60" t="n">
        <v>59587201</v>
      </c>
      <c r="L232" s="61" t="inlineStr">
        <is>
          <t>PANEL,SKULK END,LEFT,2043MK5</t>
        </is>
      </c>
      <c r="M232" s="61" t="inlineStr">
        <is>
          <t>C 595872XX R  B</t>
        </is>
      </c>
      <c r="N232" s="60" t="n">
        <v>2</v>
      </c>
      <c r="O232" s="60" t="n"/>
      <c r="P232" s="60" t="inlineStr">
        <is>
          <t>EA</t>
        </is>
      </c>
      <c r="Q232" s="60" t="n">
        <v>4</v>
      </c>
      <c r="R232" s="60" t="inlineStr">
        <is>
          <t>KITM</t>
        </is>
      </c>
      <c r="S232" s="56" t="n"/>
      <c r="T232" s="12" t="n"/>
      <c r="U232" s="12" t="n"/>
      <c r="V232" s="12" t="n"/>
      <c r="W232" s="91">
        <f>IF(AND(LEN(D502)&gt;=6,OR(LEFT(D502,1)="4",LEFT(D502,1)="5"),K502="9DRWM"),"SDRWM","")</f>
        <v/>
      </c>
    </row>
    <row r="233" hidden="1" ht="12" customFormat="1" customHeight="1" s="46">
      <c r="A233" s="60" t="n"/>
      <c r="B233" s="61" t="inlineStr">
        <is>
          <t>...4</t>
        </is>
      </c>
      <c r="C233" s="61" t="inlineStr">
        <is>
          <t>0080</t>
        </is>
      </c>
      <c r="D233" s="60" t="n">
        <v>586456</v>
      </c>
      <c r="L233" s="61" t="inlineStr">
        <is>
          <t>ZONE TERMINAL BLOCK ASSEMBLY</t>
        </is>
      </c>
      <c r="M233" s="61" t="inlineStr">
        <is>
          <t>A  586456  ** A</t>
        </is>
      </c>
      <c r="N233" s="60" t="n">
        <v>21</v>
      </c>
      <c r="O233" s="60" t="n"/>
      <c r="P233" s="60" t="inlineStr">
        <is>
          <t>EA</t>
        </is>
      </c>
      <c r="Q233" s="60" t="n">
        <v>9</v>
      </c>
      <c r="R233" s="60" t="inlineStr">
        <is>
          <t>KITEL</t>
        </is>
      </c>
      <c r="S233" s="56" t="n"/>
      <c r="T233" s="12" t="n"/>
      <c r="U233" s="12" t="n"/>
      <c r="V233" s="12" t="n"/>
      <c r="W233" s="91">
        <f>IF(AND(LEN(D503)&gt;=6,OR(LEFT(D503,1)="4",LEFT(D503,1)="5"),K503="9DRWM"),"SDRWM","")</f>
        <v/>
      </c>
    </row>
    <row r="234" hidden="1" ht="12" customFormat="1" customHeight="1" s="46">
      <c r="A234" s="60" t="n"/>
      <c r="B234" s="61" t="inlineStr">
        <is>
          <t>...4</t>
        </is>
      </c>
      <c r="C234" s="61" t="inlineStr">
        <is>
          <t>0200</t>
        </is>
      </c>
      <c r="D234" s="60" t="n">
        <v>5903885</v>
      </c>
      <c r="E234" t="n">
        <v>8</v>
      </c>
      <c r="F234" t="n">
        <v>5</v>
      </c>
      <c r="G234" t="inlineStr">
        <is>
          <t>9965404</t>
        </is>
      </c>
      <c r="H234" t="inlineStr">
        <is>
          <t>59965404</t>
        </is>
      </c>
      <c r="I234" t="n">
        <v>59965404</v>
      </c>
      <c r="J234" t="n">
        <v>59965404</v>
      </c>
      <c r="K234" t="n">
        <v>599654</v>
      </c>
      <c r="L234" s="61" t="inlineStr">
        <is>
          <t>POWER OUTLET TERMINAL ASSY</t>
        </is>
      </c>
      <c r="M234" s="61" t="inlineStr">
        <is>
          <t>BM5903885  **</t>
        </is>
      </c>
      <c r="N234" s="60" t="n">
        <v>2</v>
      </c>
      <c r="O234" s="60" t="n"/>
      <c r="P234" s="60" t="inlineStr">
        <is>
          <t>EA</t>
        </is>
      </c>
      <c r="Q234" s="60" t="n">
        <v>0</v>
      </c>
      <c r="R234" s="60" t="n"/>
      <c r="S234" s="56" t="n"/>
      <c r="T234" s="12" t="n"/>
      <c r="U234" s="12" t="n"/>
      <c r="V234" s="12" t="n"/>
      <c r="W234" s="91">
        <f>IF(AND(LEN(D522)&gt;=6,OR(LEFT(D522,1)="4",LEFT(D522,1)="5"),K522="9DRWM"),"SDRWM","")</f>
        <v/>
      </c>
      <c r="X234" s="123" t="inlineStr">
        <is>
          <t>59965404</t>
        </is>
      </c>
      <c r="Y234" s="122" t="n"/>
      <c r="Z234" s="122" t="n"/>
    </row>
    <row r="235" hidden="1" ht="12" customFormat="1" customHeight="1" s="46">
      <c r="A235" s="60" t="n"/>
      <c r="B235" s="61" t="inlineStr">
        <is>
          <t>....5</t>
        </is>
      </c>
      <c r="C235" s="61" t="inlineStr">
        <is>
          <t>0040</t>
        </is>
      </c>
      <c r="D235" s="60" t="n">
        <v>59950902</v>
      </c>
      <c r="L235" s="61" t="inlineStr">
        <is>
          <t>STEEL DIN RAIL 75MM</t>
        </is>
      </c>
      <c r="M235" s="61" t="inlineStr">
        <is>
          <t>A 599509XX R</t>
        </is>
      </c>
      <c r="N235" s="60" t="n">
        <v>2</v>
      </c>
      <c r="O235" s="60" t="n"/>
      <c r="P235" s="60" t="inlineStr">
        <is>
          <t>EA</t>
        </is>
      </c>
      <c r="Q235" s="60" t="n">
        <v>4</v>
      </c>
      <c r="R235" s="60" t="inlineStr">
        <is>
          <t>PBINM</t>
        </is>
      </c>
      <c r="S235" s="56" t="n"/>
      <c r="T235" s="12" t="n"/>
      <c r="U235" s="12" t="n"/>
      <c r="V235" s="12" t="n"/>
      <c r="W235" s="91">
        <f>IF(AND(LEN(D526)&gt;=6,OR(LEFT(D526,1)="4",LEFT(D526,1)="5"),K526="9DRWM"),"SDRWM","")</f>
        <v/>
      </c>
      <c r="X235" s="2" t="n"/>
    </row>
    <row r="236" ht="12" customFormat="1" customHeight="1" s="46">
      <c r="A236" s="60" t="n"/>
      <c r="B236" s="61" t="inlineStr">
        <is>
          <t>....5</t>
        </is>
      </c>
      <c r="C236" s="61" t="inlineStr">
        <is>
          <t>0150</t>
        </is>
      </c>
      <c r="D236" s="60" t="n">
        <v>59587202</v>
      </c>
      <c r="L236" s="61" t="inlineStr">
        <is>
          <t>PANEL,SKULK END,RIGHT,2043MK5</t>
        </is>
      </c>
      <c r="M236" s="61" t="inlineStr">
        <is>
          <t>C 595872XX R  B</t>
        </is>
      </c>
      <c r="N236" s="60" t="n">
        <v>2</v>
      </c>
      <c r="O236" s="60" t="n"/>
      <c r="P236" s="60" t="inlineStr">
        <is>
          <t>EA</t>
        </is>
      </c>
      <c r="Q236" s="60" t="n">
        <v>4</v>
      </c>
      <c r="R236" s="60" t="inlineStr">
        <is>
          <t>KITM</t>
        </is>
      </c>
      <c r="S236" s="56" t="n"/>
      <c r="T236" s="12" t="n"/>
      <c r="U236" s="12" t="n"/>
      <c r="V236" s="12" t="n"/>
      <c r="W236" s="91">
        <f>IF(AND(LEN(D540)&gt;=6,OR(LEFT(D540,1)="4",LEFT(D540,1)="5"),K540="9DRWM"),"SDRWM","")</f>
        <v/>
      </c>
      <c r="X236" s="2" t="n"/>
    </row>
    <row r="237" hidden="1" ht="12" customFormat="1" customHeight="1" s="46">
      <c r="A237" s="60" t="n"/>
      <c r="B237" s="61" t="inlineStr">
        <is>
          <t>...4</t>
        </is>
      </c>
      <c r="C237" s="61" t="inlineStr">
        <is>
          <t>0430</t>
        </is>
      </c>
      <c r="D237" s="60" t="n">
        <v>587155</v>
      </c>
      <c r="E237" t="n">
        <v>9</v>
      </c>
      <c r="F237" t="n">
        <v>4</v>
      </c>
      <c r="G237" t="inlineStr">
        <is>
          <t>11231402</t>
        </is>
      </c>
      <c r="H237" t="inlineStr">
        <is>
          <t>411231402</t>
        </is>
      </c>
      <c r="I237" t="n">
        <v>411231402</v>
      </c>
      <c r="J237" t="n">
        <v>411231402</v>
      </c>
      <c r="K237" t="n">
        <v>4112314</v>
      </c>
      <c r="L237" s="61" t="inlineStr">
        <is>
          <t>GROUND CABLE ASS'Y</t>
        </is>
      </c>
      <c r="M237" s="61" t="inlineStr">
        <is>
          <t>A587155    **</t>
        </is>
      </c>
      <c r="N237" s="60" t="n">
        <v>1</v>
      </c>
      <c r="O237" s="60" t="n"/>
      <c r="P237" s="60" t="inlineStr">
        <is>
          <t>EA</t>
        </is>
      </c>
      <c r="Q237" s="60" t="n">
        <v>9</v>
      </c>
      <c r="R237" s="60" t="inlineStr">
        <is>
          <t>PBINM</t>
        </is>
      </c>
      <c r="S237" s="56" t="n"/>
      <c r="T237" s="12" t="n"/>
      <c r="U237" s="12" t="n"/>
      <c r="V237" s="12" t="n"/>
      <c r="W237" s="91">
        <f>IF(AND(LEN(D541)&gt;=6,OR(LEFT(D541,1)="4",LEFT(D541,1)="5"),K541="9DRWM"),"SDRWM","")</f>
        <v/>
      </c>
      <c r="X237" s="123" t="n"/>
      <c r="Y237" s="122" t="n"/>
      <c r="Z237" s="122" t="n"/>
    </row>
    <row r="238" hidden="1" ht="12" customFormat="1" customHeight="1" s="46">
      <c r="A238" s="60" t="n"/>
      <c r="B238" s="61" t="inlineStr">
        <is>
          <t>...4</t>
        </is>
      </c>
      <c r="C238" s="61" t="inlineStr">
        <is>
          <t>0510</t>
        </is>
      </c>
      <c r="D238" s="60" t="n">
        <v>596789</v>
      </c>
      <c r="E238" t="n">
        <v>7</v>
      </c>
      <c r="F238" t="n">
        <v>5</v>
      </c>
      <c r="G238" t="inlineStr">
        <is>
          <t>900061</t>
        </is>
      </c>
      <c r="H238" t="inlineStr">
        <is>
          <t>5900061</t>
        </is>
      </c>
      <c r="I238" t="n">
        <v>5900061</v>
      </c>
      <c r="J238" t="n">
        <v>5900061</v>
      </c>
      <c r="K238" t="n">
        <v>5900061</v>
      </c>
      <c r="L238" s="61" t="inlineStr">
        <is>
          <t>HOOD INTERLOCK, 1PC FRAME</t>
        </is>
      </c>
      <c r="M238" s="61" t="inlineStr">
        <is>
          <t>BM596789   R  A</t>
        </is>
      </c>
      <c r="N238" s="60" t="n">
        <v>1</v>
      </c>
      <c r="O238" s="60" t="n"/>
      <c r="P238" s="60" t="inlineStr">
        <is>
          <t>EA</t>
        </is>
      </c>
      <c r="Q238" s="60" t="n">
        <v>0</v>
      </c>
      <c r="R238" s="60" t="n"/>
      <c r="S238" s="56" t="n"/>
      <c r="T238" s="12" t="n"/>
      <c r="U238" s="12" t="n"/>
      <c r="V238" s="12" t="n"/>
      <c r="W238" s="91">
        <f>IF(AND(LEN(D553)&gt;=6,OR(LEFT(D553,1)="4",LEFT(D553,1)="5"),K553="9DRWM"),"SDRWM","")</f>
        <v/>
      </c>
      <c r="X238" s="123" t="n"/>
      <c r="Y238" s="122" t="n"/>
      <c r="Z238" s="122" t="n"/>
    </row>
    <row r="239" ht="12" customFormat="1" customHeight="1" s="46">
      <c r="A239" s="60" t="n"/>
      <c r="B239" s="61" t="inlineStr">
        <is>
          <t>....5</t>
        </is>
      </c>
      <c r="C239" s="61" t="inlineStr">
        <is>
          <t>0180</t>
        </is>
      </c>
      <c r="D239" s="60" t="n">
        <v>595874</v>
      </c>
      <c r="E239" t="n">
        <v>9</v>
      </c>
      <c r="F239" t="n">
        <v>5</v>
      </c>
      <c r="G239" t="inlineStr">
        <is>
          <t>90007001</t>
        </is>
      </c>
      <c r="H239" t="inlineStr">
        <is>
          <t>590007001</t>
        </is>
      </c>
      <c r="I239" t="n">
        <v>590007001</v>
      </c>
      <c r="J239" t="n">
        <v>590007001</v>
      </c>
      <c r="K239" t="n">
        <v>5900070</v>
      </c>
      <c r="L239" s="61" t="inlineStr">
        <is>
          <t>FLOWMTR PL, 2 METER, MK5</t>
        </is>
      </c>
      <c r="M239" s="61" t="inlineStr">
        <is>
          <t>B 595874   R  A</t>
        </is>
      </c>
      <c r="N239" s="60" t="n">
        <v>1</v>
      </c>
      <c r="O239" s="60" t="n"/>
      <c r="P239" s="60" t="inlineStr">
        <is>
          <t>EA</t>
        </is>
      </c>
      <c r="Q239" s="60" t="n">
        <v>4</v>
      </c>
      <c r="R239" s="60" t="inlineStr">
        <is>
          <t>KITM</t>
        </is>
      </c>
      <c r="S239" s="56" t="n"/>
      <c r="T239" s="12" t="n"/>
      <c r="U239" s="12" t="n"/>
      <c r="V239" s="12" t="n"/>
      <c r="W239" s="91">
        <f>IF(AND(LEN(D554)&gt;=6,OR(LEFT(D554,1)="4",LEFT(D554,1)="5"),K554="9DRWM"),"SDRWM","")</f>
        <v/>
      </c>
      <c r="X239" s="123" t="inlineStr">
        <is>
          <t>590007001</t>
        </is>
      </c>
      <c r="Y239" s="122" t="n"/>
      <c r="Z239" s="122" t="n"/>
    </row>
    <row r="240" ht="12" customFormat="1" customHeight="1" s="53">
      <c r="A240" s="60" t="n"/>
      <c r="B240" s="61" t="inlineStr">
        <is>
          <t>...4</t>
        </is>
      </c>
      <c r="C240" s="61" t="inlineStr">
        <is>
          <t>0030</t>
        </is>
      </c>
      <c r="D240" s="60" t="n">
        <v>595874</v>
      </c>
      <c r="L240" s="61" t="inlineStr">
        <is>
          <t>FLOWMTR PL, 2 METER, MK5</t>
        </is>
      </c>
      <c r="M240" s="61" t="inlineStr">
        <is>
          <t>B 595874   R  A</t>
        </is>
      </c>
      <c r="N240" s="60" t="n">
        <v>-1</v>
      </c>
      <c r="O240" s="60" t="n"/>
      <c r="P240" s="60" t="inlineStr">
        <is>
          <t>EA</t>
        </is>
      </c>
      <c r="Q240" s="60" t="n">
        <v>4</v>
      </c>
      <c r="R240" s="60" t="inlineStr">
        <is>
          <t>KITM</t>
        </is>
      </c>
      <c r="S240" s="56" t="n"/>
      <c r="T240" s="12" t="n"/>
      <c r="U240" s="12" t="n"/>
      <c r="V240" s="12" t="n"/>
      <c r="W240" s="91">
        <f>IF(AND(LEN(D564)&gt;=6,OR(LEFT(D564,1)="4",LEFT(D564,1)="5"),K564="9DRWM"),"SDRWM","")</f>
        <v/>
      </c>
    </row>
    <row r="241" hidden="1" ht="12" customFormat="1" customHeight="1" s="53">
      <c r="A241" s="60" t="n"/>
      <c r="B241" s="61" t="inlineStr">
        <is>
          <t>..3</t>
        </is>
      </c>
      <c r="C241" s="61" t="inlineStr">
        <is>
          <t>0050</t>
        </is>
      </c>
      <c r="D241" s="60" t="n">
        <v>59560504</v>
      </c>
      <c r="L241" s="61" t="inlineStr">
        <is>
          <t>5.4KW C-HTR ASY,10"AIR BW M,HV</t>
        </is>
      </c>
      <c r="M241" s="61" t="inlineStr">
        <is>
          <t>C 595605XX R  B</t>
        </is>
      </c>
      <c r="N241" s="60" t="n">
        <v>21</v>
      </c>
      <c r="O241" s="60" t="n"/>
      <c r="P241" s="60" t="inlineStr">
        <is>
          <t>EA</t>
        </is>
      </c>
      <c r="Q241" s="60" t="n">
        <v>0</v>
      </c>
      <c r="R241" s="60" t="n"/>
      <c r="S241" s="56" t="n"/>
      <c r="T241" s="12" t="n"/>
      <c r="U241" s="12" t="n"/>
      <c r="V241" s="12" t="n"/>
      <c r="W241" s="91">
        <f>IF(AND(LEN(D565)&gt;=6,OR(LEFT(D565,1)="4",LEFT(D565,1)="5"),K565="9DRWM"),"SDRWM","")</f>
        <v/>
      </c>
      <c r="X241" s="2" t="n"/>
    </row>
    <row r="242" hidden="1" ht="12" customFormat="1" customHeight="1" s="46">
      <c r="A242" s="60" t="n"/>
      <c r="B242" s="61" t="inlineStr">
        <is>
          <t>...4</t>
        </is>
      </c>
      <c r="C242" s="61" t="inlineStr">
        <is>
          <t>0010</t>
        </is>
      </c>
      <c r="D242" s="60" t="n">
        <v>595095</v>
      </c>
      <c r="E242" t="n">
        <v>7</v>
      </c>
      <c r="F242" t="n">
        <v>5</v>
      </c>
      <c r="G242" t="inlineStr">
        <is>
          <t>900345</t>
        </is>
      </c>
      <c r="H242" t="inlineStr">
        <is>
          <t>5900345</t>
        </is>
      </c>
      <c r="I242" t="n">
        <v>5900345</v>
      </c>
      <c r="J242" t="n">
        <v>5900345</v>
      </c>
      <c r="K242" t="n">
        <v>5900345</v>
      </c>
      <c r="L242" s="61" t="inlineStr">
        <is>
          <t>5.4KW HEATER ELEM,IN INNER BOX</t>
        </is>
      </c>
      <c r="M242" s="61" t="inlineStr">
        <is>
          <t>C 595095   R  B</t>
        </is>
      </c>
      <c r="N242" s="60" t="n">
        <v>21</v>
      </c>
      <c r="O242" s="60" t="n"/>
      <c r="P242" s="60" t="inlineStr">
        <is>
          <t>EA</t>
        </is>
      </c>
      <c r="Q242" s="60" t="n">
        <v>4</v>
      </c>
      <c r="R242" s="60" t="inlineStr">
        <is>
          <t>BNRML</t>
        </is>
      </c>
      <c r="S242" s="56" t="n"/>
      <c r="T242" s="12" t="n"/>
      <c r="U242" s="12" t="n"/>
      <c r="V242" s="12" t="n"/>
      <c r="W242" s="91">
        <f>IF(AND(LEN(D566)&gt;=6,OR(LEFT(D566,1)="4",LEFT(D566,1)="5"),K566="9DRWM"),"SDRWM","")</f>
        <v/>
      </c>
      <c r="X242" s="123" t="n"/>
      <c r="Y242" s="122" t="n"/>
      <c r="Z242" s="122" t="n"/>
    </row>
    <row r="243" ht="12" customFormat="1" customHeight="1" s="46">
      <c r="A243" s="60" t="n"/>
      <c r="B243" s="61" t="inlineStr">
        <is>
          <t>....5</t>
        </is>
      </c>
      <c r="C243" s="61" t="inlineStr">
        <is>
          <t>0170</t>
        </is>
      </c>
      <c r="D243" s="60" t="n">
        <v>595875</v>
      </c>
      <c r="L243" s="61" t="inlineStr">
        <is>
          <t>FLOWMETER BOX,FRAME,2043MK5</t>
        </is>
      </c>
      <c r="M243" s="61" t="inlineStr">
        <is>
          <t>C 595875   R  B</t>
        </is>
      </c>
      <c r="N243" s="60" t="n">
        <v>1</v>
      </c>
      <c r="O243" s="60" t="n"/>
      <c r="P243" s="60" t="inlineStr">
        <is>
          <t>EA</t>
        </is>
      </c>
      <c r="Q243" s="60" t="n">
        <v>4</v>
      </c>
      <c r="R243" s="60" t="inlineStr">
        <is>
          <t>KITM</t>
        </is>
      </c>
      <c r="S243" s="56" t="n"/>
      <c r="T243" s="12" t="n"/>
      <c r="U243" s="12" t="n"/>
      <c r="V243" s="12" t="n"/>
      <c r="W243" s="91">
        <f>IF(AND(LEN(D572)&gt;=6,OR(LEFT(D572,1)="4",LEFT(D572,1)="5"),K572="9DRWM"),"SDRWM","")</f>
        <v/>
      </c>
      <c r="X243" s="2" t="n"/>
    </row>
    <row r="244" hidden="1" ht="12" customFormat="1" customHeight="1" s="46">
      <c r="A244" s="60" t="n"/>
      <c r="B244" s="61" t="inlineStr">
        <is>
          <t>...4</t>
        </is>
      </c>
      <c r="C244" s="61" t="inlineStr">
        <is>
          <t>0010</t>
        </is>
      </c>
      <c r="D244" s="60" t="n">
        <v>58722202</v>
      </c>
      <c r="E244" t="n">
        <v>9</v>
      </c>
      <c r="F244" t="n">
        <v>5</v>
      </c>
      <c r="G244" t="inlineStr">
        <is>
          <t>90034902</t>
        </is>
      </c>
      <c r="H244" t="inlineStr">
        <is>
          <t>590034902</t>
        </is>
      </c>
      <c r="I244" t="n">
        <v>590034902</v>
      </c>
      <c r="J244" t="n">
        <v>590034902</v>
      </c>
      <c r="K244" t="n">
        <v>5900349</v>
      </c>
      <c r="L244" s="61" t="inlineStr">
        <is>
          <t>HARNESS 1809 HEATER HV TOP LR</t>
        </is>
      </c>
      <c r="M244" s="61" t="inlineStr">
        <is>
          <t>A  58722202R</t>
        </is>
      </c>
      <c r="N244" s="60" t="n">
        <v>1</v>
      </c>
      <c r="O244" s="60" t="n"/>
      <c r="P244" s="60" t="inlineStr">
        <is>
          <t>EA</t>
        </is>
      </c>
      <c r="Q244" s="60" t="n">
        <v>4</v>
      </c>
      <c r="R244" s="60" t="inlineStr">
        <is>
          <t>PBINM</t>
        </is>
      </c>
      <c r="S244" s="56" t="n"/>
      <c r="T244" s="12" t="n"/>
      <c r="U244" s="12" t="n"/>
      <c r="V244" s="12" t="n"/>
      <c r="W244" s="91">
        <f>IF(AND(LEN(D573)&gt;=6,OR(LEFT(D573,1)="4",LEFT(D573,1)="5"),K573="9DRWM"),"SDRWM","")</f>
        <v/>
      </c>
      <c r="X244" s="123" t="inlineStr">
        <is>
          <t>590034902</t>
        </is>
      </c>
      <c r="Y244" s="122" t="n"/>
      <c r="Z244" s="122" t="n"/>
    </row>
    <row r="245" ht="12" customFormat="1" customHeight="1" s="46">
      <c r="A245" s="60" t="n"/>
      <c r="B245" s="61" t="inlineStr">
        <is>
          <t>...4</t>
        </is>
      </c>
      <c r="C245" s="61" t="inlineStr">
        <is>
          <t>0020</t>
        </is>
      </c>
      <c r="D245" s="60" t="n">
        <v>595875</v>
      </c>
      <c r="L245" s="61" t="inlineStr">
        <is>
          <t>FLOWMETER BOX,FRAME,2043MK5</t>
        </is>
      </c>
      <c r="M245" s="61" t="inlineStr">
        <is>
          <t>C 595875   R  B</t>
        </is>
      </c>
      <c r="N245" s="60" t="n">
        <v>-1</v>
      </c>
      <c r="O245" s="60" t="n"/>
      <c r="P245" s="60" t="inlineStr">
        <is>
          <t>EA</t>
        </is>
      </c>
      <c r="Q245" s="60" t="n">
        <v>4</v>
      </c>
      <c r="R245" s="60" t="inlineStr">
        <is>
          <t>KITM</t>
        </is>
      </c>
      <c r="S245" s="56" t="n"/>
      <c r="T245" s="12" t="n"/>
      <c r="U245" s="12" t="n"/>
      <c r="V245" s="12" t="n"/>
      <c r="W245" s="91">
        <f>IF(AND(LEN(D574)&gt;=6,OR(LEFT(D574,1)="4",LEFT(D574,1)="5"),K574="9DRWM"),"SDRWM","")</f>
        <v/>
      </c>
      <c r="X245" s="2" t="n"/>
    </row>
    <row r="246" ht="12" customFormat="1" customHeight="1" s="46">
      <c r="A246" s="60" t="n"/>
      <c r="B246" s="61" t="inlineStr">
        <is>
          <t>....5</t>
        </is>
      </c>
      <c r="C246" s="61" t="inlineStr">
        <is>
          <t>0010</t>
        </is>
      </c>
      <c r="D246" s="60" t="n">
        <v>595878</v>
      </c>
      <c r="L246" s="61" t="inlineStr">
        <is>
          <t>PANEL,CORNER FRONT,2043MK5</t>
        </is>
      </c>
      <c r="M246" s="61" t="inlineStr">
        <is>
          <t>D 595878   R  B</t>
        </is>
      </c>
      <c r="N246" s="60" t="n">
        <v>1</v>
      </c>
      <c r="O246" s="60" t="n"/>
      <c r="P246" s="60" t="inlineStr">
        <is>
          <t>EA</t>
        </is>
      </c>
      <c r="Q246" s="60" t="n">
        <v>4</v>
      </c>
      <c r="R246" s="60" t="inlineStr">
        <is>
          <t>KITM</t>
        </is>
      </c>
      <c r="S246" s="56" t="n"/>
      <c r="T246" s="12" t="n"/>
      <c r="U246" s="12" t="n"/>
      <c r="V246" s="12" t="n"/>
      <c r="W246" s="91">
        <f>IF(AND(LEN(D575)&gt;=6,OR(LEFT(D575,1)="4",LEFT(D575,1)="5"),K575="9DRWM"),"SDRWM","")</f>
        <v/>
      </c>
    </row>
    <row r="247" ht="12" customFormat="1" customHeight="1" s="46">
      <c r="A247" s="60" t="n"/>
      <c r="B247" s="61" t="inlineStr">
        <is>
          <t>...4</t>
        </is>
      </c>
      <c r="C247" s="61" t="inlineStr">
        <is>
          <t>0030</t>
        </is>
      </c>
      <c r="D247" s="60" t="n">
        <v>59595301</v>
      </c>
      <c r="L247" s="61" t="inlineStr">
        <is>
          <t>ROLLER BRACKET, 1 PCS BASE</t>
        </is>
      </c>
      <c r="M247" s="61" t="inlineStr">
        <is>
          <t>A 595953XX R  A</t>
        </is>
      </c>
      <c r="N247" s="60" t="n">
        <v>2</v>
      </c>
      <c r="O247" s="60" t="n"/>
      <c r="P247" s="60" t="inlineStr">
        <is>
          <t>EA</t>
        </is>
      </c>
      <c r="Q247" s="60" t="n">
        <v>4</v>
      </c>
      <c r="R247" s="60" t="inlineStr">
        <is>
          <t>KITM</t>
        </is>
      </c>
      <c r="S247" s="56" t="n"/>
      <c r="T247" s="12" t="n"/>
      <c r="U247" s="12" t="n"/>
      <c r="V247" s="12" t="n"/>
      <c r="W247" s="91">
        <f>IF(AND(LEN(D576)&gt;=6,OR(LEFT(D576,1)="4",LEFT(D576,1)="5"),K576="9DRWM"),"SDRWM","")</f>
        <v/>
      </c>
    </row>
    <row r="248" ht="12" customFormat="1" customHeight="1" s="46">
      <c r="A248" s="60" t="n"/>
      <c r="B248" s="61" t="inlineStr">
        <is>
          <t>...4</t>
        </is>
      </c>
      <c r="C248" s="61" t="inlineStr">
        <is>
          <t>0040</t>
        </is>
      </c>
      <c r="D248" s="60" t="n">
        <v>59595302</v>
      </c>
      <c r="E248" t="n">
        <v>7</v>
      </c>
      <c r="F248" t="n">
        <v>5</v>
      </c>
      <c r="G248" t="inlineStr">
        <is>
          <t>900350</t>
        </is>
      </c>
      <c r="H248" t="inlineStr">
        <is>
          <t>5900350</t>
        </is>
      </c>
      <c r="I248" t="n">
        <v>5900350</v>
      </c>
      <c r="J248" t="n">
        <v>5900350</v>
      </c>
      <c r="K248" t="n">
        <v>5900350</v>
      </c>
      <c r="L248" s="61" t="inlineStr">
        <is>
          <t>ROLLER BRACKET, 1 PCS BASE</t>
        </is>
      </c>
      <c r="M248" s="61" t="inlineStr">
        <is>
          <t>A 595953XX R  A</t>
        </is>
      </c>
      <c r="N248" s="60" t="n">
        <v>2</v>
      </c>
      <c r="O248" s="60" t="n"/>
      <c r="P248" s="60" t="inlineStr">
        <is>
          <t>EA</t>
        </is>
      </c>
      <c r="Q248" s="60" t="n">
        <v>4</v>
      </c>
      <c r="R248" s="60" t="inlineStr">
        <is>
          <t>KITM</t>
        </is>
      </c>
      <c r="S248" s="56" t="n"/>
      <c r="T248" s="12" t="n"/>
      <c r="U248" s="12" t="n"/>
      <c r="V248" s="12" t="n"/>
      <c r="W248" s="91">
        <f>IF(AND(LEN(D577)&gt;=6,OR(LEFT(D577,1)="4",LEFT(D577,1)="5"),K577="9DRWM"),"SDRWM","")</f>
        <v/>
      </c>
      <c r="X248" s="122" t="inlineStr">
        <is>
          <t>5900350</t>
        </is>
      </c>
      <c r="Y248" s="122" t="n"/>
      <c r="Z248" s="122" t="n"/>
    </row>
    <row r="249" hidden="1" ht="12" customFormat="1" customHeight="1" s="46">
      <c r="A249" s="60" t="n"/>
      <c r="B249" s="61" t="inlineStr">
        <is>
          <t>.2</t>
        </is>
      </c>
      <c r="C249" s="61" t="inlineStr">
        <is>
          <t>0020</t>
        </is>
      </c>
      <c r="D249" s="60" t="n">
        <v>5906195</v>
      </c>
      <c r="E249" t="n">
        <v>9</v>
      </c>
      <c r="F249" t="n">
        <v>5</v>
      </c>
      <c r="G249" t="inlineStr">
        <is>
          <t>90113903</t>
        </is>
      </c>
      <c r="H249" t="inlineStr">
        <is>
          <t>590113903</t>
        </is>
      </c>
      <c r="I249" t="n">
        <v>590113903</v>
      </c>
      <c r="J249" t="n">
        <v>590113903</v>
      </c>
      <c r="K249" t="n">
        <v>5901139</v>
      </c>
      <c r="L249" s="61" t="inlineStr">
        <is>
          <t>SINGLE EHC LR FRF HC6,18XXMK5</t>
        </is>
      </c>
      <c r="M249" s="61" t="inlineStr">
        <is>
          <t>BM5906195  R</t>
        </is>
      </c>
      <c r="N249" s="60" t="n">
        <v>1</v>
      </c>
      <c r="O249" s="60" t="n"/>
      <c r="P249" s="60" t="inlineStr">
        <is>
          <t>EA</t>
        </is>
      </c>
      <c r="Q249" s="60" t="n">
        <v>0</v>
      </c>
      <c r="R249" s="60" t="n"/>
      <c r="S249" s="56" t="n"/>
      <c r="T249" s="12" t="n"/>
      <c r="U249" s="12" t="n"/>
      <c r="V249" s="12" t="n"/>
      <c r="W249" s="91">
        <f>IF(AND(LEN(D588)&gt;=6,OR(LEFT(D588,1)="4",LEFT(D588,1)="5"),K588="9DRWM"),"SDRWM","")</f>
        <v/>
      </c>
      <c r="X249" s="123" t="n"/>
      <c r="Y249" s="122" t="n"/>
      <c r="Z249" s="122" t="n"/>
    </row>
    <row r="250" ht="12" customFormat="1" customHeight="1" s="46">
      <c r="A250" s="60" t="n"/>
      <c r="B250" s="61" t="inlineStr">
        <is>
          <t>...4</t>
        </is>
      </c>
      <c r="C250" s="61" t="inlineStr">
        <is>
          <t>0050</t>
        </is>
      </c>
      <c r="D250" s="60" t="n">
        <v>595954</v>
      </c>
      <c r="E250" t="n">
        <v>9</v>
      </c>
      <c r="F250" t="n">
        <v>5</v>
      </c>
      <c r="G250" t="inlineStr">
        <is>
          <t>90113905</t>
        </is>
      </c>
      <c r="H250" t="inlineStr">
        <is>
          <t>590113905</t>
        </is>
      </c>
      <c r="I250" t="n">
        <v>590113905</v>
      </c>
      <c r="J250" t="n">
        <v>590113905</v>
      </c>
      <c r="K250" t="n">
        <v>5901139</v>
      </c>
      <c r="L250" s="61" t="inlineStr">
        <is>
          <t>ROLLER BRACKT,1 PCS BASE,LOWER</t>
        </is>
      </c>
      <c r="M250" s="61" t="inlineStr">
        <is>
          <t>B 595954   R</t>
        </is>
      </c>
      <c r="N250" s="60" t="n">
        <v>3</v>
      </c>
      <c r="O250" s="60" t="n"/>
      <c r="P250" s="60" t="inlineStr">
        <is>
          <t>EA</t>
        </is>
      </c>
      <c r="Q250" s="60" t="n">
        <v>4</v>
      </c>
      <c r="R250" s="60" t="inlineStr">
        <is>
          <t>KITM</t>
        </is>
      </c>
      <c r="S250" s="56" t="n"/>
      <c r="T250" s="12" t="n"/>
      <c r="U250" s="12" t="n"/>
      <c r="V250" s="12" t="n"/>
      <c r="W250" s="91">
        <f>IF(AND(LEN(D590)&gt;=6,OR(LEFT(D590,1)="4",LEFT(D590,1)="5"),K590="9DRWM"),"SDRWM","")</f>
        <v/>
      </c>
      <c r="X250" s="122" t="n"/>
      <c r="Y250" s="122" t="n"/>
      <c r="Z250" s="122" t="n"/>
    </row>
    <row r="251" ht="12" customFormat="1" customHeight="1" s="46">
      <c r="A251" s="60" t="n"/>
      <c r="B251" s="61" t="inlineStr">
        <is>
          <t>...4</t>
        </is>
      </c>
      <c r="C251" s="61" t="inlineStr">
        <is>
          <t>0060</t>
        </is>
      </c>
      <c r="D251" s="60" t="n">
        <v>595955</v>
      </c>
      <c r="E251" t="n">
        <v>9</v>
      </c>
      <c r="F251" t="n">
        <v>5</v>
      </c>
      <c r="G251" t="inlineStr">
        <is>
          <t>90113906</t>
        </is>
      </c>
      <c r="H251" t="inlineStr">
        <is>
          <t>590113906</t>
        </is>
      </c>
      <c r="I251" t="n">
        <v>590113906</v>
      </c>
      <c r="J251" t="n">
        <v>590113906</v>
      </c>
      <c r="K251" t="n">
        <v>5901139</v>
      </c>
      <c r="L251" s="61" t="inlineStr">
        <is>
          <t>ROLLER BRACKET,1 PCS BASE,LONG</t>
        </is>
      </c>
      <c r="M251" s="61" t="inlineStr">
        <is>
          <t>B 595955   R</t>
        </is>
      </c>
      <c r="N251" s="60" t="n">
        <v>4</v>
      </c>
      <c r="O251" s="60" t="n"/>
      <c r="P251" s="60" t="inlineStr">
        <is>
          <t>EA</t>
        </is>
      </c>
      <c r="Q251" s="60" t="n">
        <v>4</v>
      </c>
      <c r="R251" s="60" t="inlineStr">
        <is>
          <t>KITM</t>
        </is>
      </c>
      <c r="S251" s="56" t="n"/>
      <c r="T251" s="12" t="n"/>
      <c r="U251" s="12" t="n"/>
      <c r="V251" s="12" t="n"/>
      <c r="W251" s="91">
        <f>IF(AND(LEN(D591)&gt;=6,OR(LEFT(D591,1)="4",LEFT(D591,1)="5"),K591="9DRWM"),"SDRWM","")</f>
        <v/>
      </c>
      <c r="X251" s="122" t="n"/>
      <c r="Y251" s="122" t="n"/>
      <c r="Z251" s="122" t="n"/>
    </row>
    <row r="252" ht="12" customFormat="1" customHeight="1" s="46">
      <c r="A252" s="60" t="n"/>
      <c r="B252" s="61" t="inlineStr">
        <is>
          <t>...4</t>
        </is>
      </c>
      <c r="C252" s="61" t="inlineStr">
        <is>
          <t>0070</t>
        </is>
      </c>
      <c r="D252" s="60" t="n">
        <v>595956</v>
      </c>
      <c r="E252" t="n">
        <v>9</v>
      </c>
      <c r="F252" t="n">
        <v>5</v>
      </c>
      <c r="G252" t="inlineStr">
        <is>
          <t>90127402</t>
        </is>
      </c>
      <c r="H252" t="inlineStr">
        <is>
          <t>590127402</t>
        </is>
      </c>
      <c r="I252" t="n">
        <v>590127402</v>
      </c>
      <c r="J252" t="n">
        <v>590127402</v>
      </c>
      <c r="K252" t="n">
        <v>5901274</v>
      </c>
      <c r="L252" s="61" t="inlineStr">
        <is>
          <t>ROLLER BRACKET,END,UPPER,W/MB</t>
        </is>
      </c>
      <c r="M252" s="61" t="inlineStr">
        <is>
          <t>B 595956   R</t>
        </is>
      </c>
      <c r="N252" s="60" t="n">
        <v>4</v>
      </c>
      <c r="O252" s="60" t="n"/>
      <c r="P252" s="60" t="inlineStr">
        <is>
          <t>EA</t>
        </is>
      </c>
      <c r="Q252" s="60" t="n">
        <v>4</v>
      </c>
      <c r="R252" s="60" t="inlineStr">
        <is>
          <t>KITM</t>
        </is>
      </c>
      <c r="S252" s="56" t="n"/>
      <c r="T252" s="12" t="n"/>
      <c r="U252" s="12" t="n"/>
      <c r="V252" s="12" t="n"/>
      <c r="W252" s="91">
        <f>IF(AND(LEN(D592)&gt;=6,OR(LEFT(D592,1)="4",LEFT(D592,1)="5"),K592="9DRWM"),"SDRWM","")</f>
        <v/>
      </c>
      <c r="X252" s="122" t="inlineStr">
        <is>
          <t>590127402</t>
        </is>
      </c>
      <c r="Y252" s="122" t="n"/>
      <c r="Z252" s="122" t="n"/>
    </row>
    <row r="253" hidden="1" ht="12" customFormat="1" customHeight="1" s="46">
      <c r="A253" s="60" t="n"/>
      <c r="B253" s="61" t="inlineStr">
        <is>
          <t>..3</t>
        </is>
      </c>
      <c r="C253" s="61" t="inlineStr">
        <is>
          <t>0010</t>
        </is>
      </c>
      <c r="D253" s="60" t="n">
        <v>590418101</v>
      </c>
      <c r="L253" s="61" t="inlineStr">
        <is>
          <t>ENT EHC ASSY,LR FRF,MK7,30IN</t>
        </is>
      </c>
      <c r="M253" s="61" t="inlineStr">
        <is>
          <t>D 5904181XXR</t>
        </is>
      </c>
      <c r="N253" s="60" t="n">
        <v>1</v>
      </c>
      <c r="O253" s="60" t="n"/>
      <c r="P253" s="60" t="inlineStr">
        <is>
          <t>EA</t>
        </is>
      </c>
      <c r="Q253" s="60" t="n">
        <v>0</v>
      </c>
      <c r="R253" s="60" t="n"/>
      <c r="S253" s="56" t="inlineStr">
        <is>
          <t>9DRWMEH TO BLANK</t>
        </is>
      </c>
      <c r="T253" s="12" t="n"/>
      <c r="U253" s="12" t="n"/>
      <c r="V253" s="12" t="n"/>
      <c r="W253" s="91">
        <f>IF(AND(LEN(D593)&gt;=6,OR(LEFT(D593,1)="4",LEFT(D593,1)="5"),K593="9DRWM"),"SDRWM","")</f>
        <v/>
      </c>
    </row>
    <row r="254" hidden="1" ht="12" customFormat="1" customHeight="1" s="46">
      <c r="A254" s="60" t="n"/>
      <c r="B254" s="61" t="inlineStr">
        <is>
          <t>...4</t>
        </is>
      </c>
      <c r="C254" s="61" t="inlineStr">
        <is>
          <t>0010</t>
        </is>
      </c>
      <c r="D254" s="60" t="n">
        <v>590419101</v>
      </c>
      <c r="E254" t="n">
        <v>9</v>
      </c>
      <c r="F254" t="n">
        <v>5</v>
      </c>
      <c r="G254" t="inlineStr">
        <is>
          <t>90127401</t>
        </is>
      </c>
      <c r="H254" t="inlineStr">
        <is>
          <t>590127401</t>
        </is>
      </c>
      <c r="I254" t="n">
        <v>590127401</v>
      </c>
      <c r="J254" t="n">
        <v>590127401</v>
      </c>
      <c r="K254" t="n">
        <v>5901274</v>
      </c>
      <c r="L254" s="61" t="inlineStr">
        <is>
          <t>END PLATE ASSY,EHC,SNG</t>
        </is>
      </c>
      <c r="M254" s="61" t="inlineStr">
        <is>
          <t>B 5904191XXR</t>
        </is>
      </c>
      <c r="N254" s="60" t="n">
        <v>2</v>
      </c>
      <c r="O254" s="60" t="n"/>
      <c r="P254" s="60" t="inlineStr">
        <is>
          <t>EA</t>
        </is>
      </c>
      <c r="Q254" s="60" t="n">
        <v>0</v>
      </c>
      <c r="R254" s="60" t="n"/>
      <c r="S254" s="56" t="inlineStr">
        <is>
          <t>9DRWMEH TO BLANK</t>
        </is>
      </c>
      <c r="T254" s="12" t="n"/>
      <c r="U254" s="12" t="n"/>
      <c r="V254" s="12" t="n"/>
      <c r="W254" s="91">
        <f>IF(AND(LEN(D594)&gt;=6,OR(LEFT(D594,1)="4",LEFT(D594,1)="5"),K594="9DRWM"),"SDRWM","")</f>
        <v/>
      </c>
      <c r="X254" s="123" t="inlineStr">
        <is>
          <t>590127401</t>
        </is>
      </c>
      <c r="Y254" s="122" t="n"/>
      <c r="Z254" s="122" t="n"/>
    </row>
    <row r="255" hidden="1" ht="12" customFormat="1" customHeight="1" s="46">
      <c r="A255" s="60" t="n"/>
      <c r="B255" s="61" t="inlineStr">
        <is>
          <t>....5</t>
        </is>
      </c>
      <c r="C255" s="61" t="inlineStr">
        <is>
          <t>0010</t>
        </is>
      </c>
      <c r="D255" s="60" t="n">
        <v>5904190</v>
      </c>
      <c r="L255" s="61" t="inlineStr">
        <is>
          <t>EHC END PLATE DETAIL,MK7</t>
        </is>
      </c>
      <c r="M255" s="61" t="inlineStr">
        <is>
          <t>C 5904190  R  A</t>
        </is>
      </c>
      <c r="N255" s="60" t="n">
        <v>2</v>
      </c>
      <c r="O255" s="60" t="n"/>
      <c r="P255" s="60" t="inlineStr">
        <is>
          <t>EA</t>
        </is>
      </c>
      <c r="Q255" s="60" t="n">
        <v>4</v>
      </c>
      <c r="R255" s="60" t="inlineStr">
        <is>
          <t>KITEH</t>
        </is>
      </c>
      <c r="S255" s="56" t="n"/>
      <c r="T255" s="12" t="n"/>
      <c r="U255" s="12" t="n"/>
      <c r="V255" s="12" t="n"/>
      <c r="W255" s="91">
        <f>IF(AND(LEN(D595)&gt;=6,OR(LEFT(D595,1)="4",LEFT(D595,1)="5"),K595="9DRWM"),"SDRWM","")</f>
        <v/>
      </c>
      <c r="X255" s="2" t="n"/>
    </row>
    <row r="256" hidden="1" ht="12" customFormat="1" customHeight="1" s="46">
      <c r="A256" s="60" t="n"/>
      <c r="B256" s="61" t="inlineStr">
        <is>
          <t>...4</t>
        </is>
      </c>
      <c r="C256" s="61" t="inlineStr">
        <is>
          <t>0020</t>
        </is>
      </c>
      <c r="D256" s="60" t="n">
        <v>59889001</v>
      </c>
      <c r="L256" s="61" t="inlineStr">
        <is>
          <t>FIXED PLATE ASSY,ENTR,MK7</t>
        </is>
      </c>
      <c r="M256" s="61" t="inlineStr">
        <is>
          <t>C 598890XX R</t>
        </is>
      </c>
      <c r="N256" s="60" t="n">
        <v>1</v>
      </c>
      <c r="O256" s="60" t="n"/>
      <c r="P256" s="60" t="inlineStr">
        <is>
          <t>EA</t>
        </is>
      </c>
      <c r="Q256" s="60" t="n">
        <v>0</v>
      </c>
      <c r="R256" s="60" t="n"/>
      <c r="S256" s="56" t="inlineStr">
        <is>
          <t>9DRWMEH TO BLANK</t>
        </is>
      </c>
      <c r="T256" s="12" t="n"/>
      <c r="U256" s="12" t="n"/>
      <c r="V256" s="12" t="n"/>
      <c r="W256" s="91">
        <f>IF(AND(LEN(D597)&gt;=6,OR(LEFT(D597,1)="4",LEFT(D597,1)="5"),K597="9DRWM"),"SDRWM","")</f>
        <v/>
      </c>
      <c r="X256" s="2" t="n"/>
    </row>
    <row r="257" hidden="1" ht="12" customFormat="1" customHeight="1" s="46">
      <c r="A257" s="60" t="n"/>
      <c r="B257" s="61" t="inlineStr">
        <is>
          <t>....5</t>
        </is>
      </c>
      <c r="C257" s="61" t="inlineStr">
        <is>
          <t>0010</t>
        </is>
      </c>
      <c r="D257" s="60" t="n">
        <v>59889102</v>
      </c>
      <c r="E257" t="n">
        <v>9</v>
      </c>
      <c r="F257" t="n">
        <v>5</v>
      </c>
      <c r="G257" t="inlineStr">
        <is>
          <t>90127402</t>
        </is>
      </c>
      <c r="H257" t="inlineStr">
        <is>
          <t>590127402</t>
        </is>
      </c>
      <c r="I257" t="n">
        <v>590127402</v>
      </c>
      <c r="J257" t="n">
        <v>590127402</v>
      </c>
      <c r="K257" t="n">
        <v>5901274</v>
      </c>
      <c r="L257" s="61" t="inlineStr">
        <is>
          <t>DUAL EHC PLATE DETAIL,FIX,MK7</t>
        </is>
      </c>
      <c r="M257" s="61" t="inlineStr">
        <is>
          <t>C 598891XX R  D</t>
        </is>
      </c>
      <c r="N257" s="60" t="n">
        <v>1</v>
      </c>
      <c r="O257" s="60" t="n"/>
      <c r="P257" s="60" t="inlineStr">
        <is>
          <t>EA</t>
        </is>
      </c>
      <c r="Q257" s="60" t="n">
        <v>4</v>
      </c>
      <c r="R257" s="60" t="inlineStr">
        <is>
          <t>KITEH</t>
        </is>
      </c>
      <c r="S257" s="56" t="n"/>
      <c r="T257" s="12" t="n"/>
      <c r="U257" s="12" t="n"/>
      <c r="V257" s="12" t="n"/>
      <c r="W257" s="91">
        <f>IF(AND(LEN(D598)&gt;=6,OR(LEFT(D598,1)="4",LEFT(D598,1)="5"),K598="9DRWM"),"SDRWM","")</f>
        <v/>
      </c>
      <c r="X257" s="123" t="inlineStr">
        <is>
          <t>590127402</t>
        </is>
      </c>
      <c r="Y257" s="122" t="n"/>
      <c r="Z257" s="122" t="n"/>
    </row>
    <row r="258" hidden="1" ht="12" customFormat="1" customHeight="1" s="46">
      <c r="A258" s="60" t="n"/>
      <c r="B258" s="61" t="inlineStr">
        <is>
          <t>....5</t>
        </is>
      </c>
      <c r="C258" s="61" t="inlineStr">
        <is>
          <t>0020</t>
        </is>
      </c>
      <c r="D258" s="60" t="n">
        <v>594823</v>
      </c>
      <c r="L258" s="61" t="inlineStr">
        <is>
          <t>IDLER ROLLER ASSY</t>
        </is>
      </c>
      <c r="M258" s="61" t="inlineStr">
        <is>
          <t>A 594823   ** A</t>
        </is>
      </c>
      <c r="N258" s="60" t="n">
        <v>1</v>
      </c>
      <c r="O258" s="60" t="n"/>
      <c r="P258" s="60" t="inlineStr">
        <is>
          <t>EA</t>
        </is>
      </c>
      <c r="Q258" s="60" t="n">
        <v>9</v>
      </c>
      <c r="R258" s="60" t="inlineStr">
        <is>
          <t>KITEH</t>
        </is>
      </c>
      <c r="S258" s="56" t="inlineStr">
        <is>
          <t>9DRWMEH TO KITEH</t>
        </is>
      </c>
      <c r="T258" s="12" t="n"/>
      <c r="U258" s="12" t="n"/>
      <c r="V258" s="12" t="n"/>
      <c r="W258" s="91">
        <f>IF(AND(LEN(D599)&gt;=6,OR(LEFT(D599,1)="4",LEFT(D599,1)="5"),K599="9DRWM"),"SDRWM","")</f>
        <v/>
      </c>
      <c r="X258" s="2" t="n"/>
    </row>
    <row r="259" hidden="1" ht="12" customFormat="1" customHeight="1" s="46">
      <c r="A259" s="60" t="n"/>
      <c r="B259" s="61" t="inlineStr">
        <is>
          <t>.....6</t>
        </is>
      </c>
      <c r="C259" s="61" t="inlineStr">
        <is>
          <t>0010</t>
        </is>
      </c>
      <c r="D259" s="60" t="n">
        <v>595443</v>
      </c>
      <c r="L259" s="61" t="inlineStr">
        <is>
          <t>IDLE ROLLER IGUS ASSY</t>
        </is>
      </c>
      <c r="M259" s="61" t="inlineStr">
        <is>
          <t>A 595443   **</t>
        </is>
      </c>
      <c r="N259" s="60" t="n">
        <v>1</v>
      </c>
      <c r="O259" s="60" t="n"/>
      <c r="P259" s="60" t="inlineStr">
        <is>
          <t>EA</t>
        </is>
      </c>
      <c r="Q259" s="60" t="n">
        <v>9</v>
      </c>
      <c r="R259" s="60" t="inlineStr">
        <is>
          <t>KITEH</t>
        </is>
      </c>
      <c r="S259" s="56" t="n"/>
      <c r="T259" s="12" t="n"/>
      <c r="U259" s="12" t="n"/>
      <c r="V259" s="12" t="n"/>
      <c r="W259" s="91">
        <f>IF(AND(LEN(D600)&gt;=6,OR(LEFT(D600,1)="4",LEFT(D600,1)="5"),K600="9DRWM"),"SDRWM","")</f>
        <v/>
      </c>
      <c r="X259" s="2" t="n"/>
    </row>
    <row r="260" hidden="1" ht="12" customFormat="1" customHeight="1" s="46">
      <c r="A260" s="60" t="n"/>
      <c r="B260" s="61" t="inlineStr">
        <is>
          <t>......7</t>
        </is>
      </c>
      <c r="C260" s="61" t="inlineStr">
        <is>
          <t>0010</t>
        </is>
      </c>
      <c r="D260" s="60" t="n">
        <v>595444</v>
      </c>
      <c r="E260" t="n">
        <v>7</v>
      </c>
      <c r="F260" t="n">
        <v>5</v>
      </c>
      <c r="G260" t="inlineStr">
        <is>
          <t>901708</t>
        </is>
      </c>
      <c r="H260" t="inlineStr">
        <is>
          <t>5901708</t>
        </is>
      </c>
      <c r="I260" t="n">
        <v>5901708</v>
      </c>
      <c r="J260" t="n">
        <v>5901708</v>
      </c>
      <c r="K260" t="n">
        <v>5901708</v>
      </c>
      <c r="L260" s="61" t="inlineStr">
        <is>
          <t>IDLER ROLLER OD31.5</t>
        </is>
      </c>
      <c r="M260" s="61" t="inlineStr">
        <is>
          <t>B 595444   R  A</t>
        </is>
      </c>
      <c r="N260" s="60" t="n">
        <v>1</v>
      </c>
      <c r="O260" s="60" t="n"/>
      <c r="P260" s="60" t="inlineStr">
        <is>
          <t>EA</t>
        </is>
      </c>
      <c r="Q260" s="60" t="n">
        <v>4</v>
      </c>
      <c r="R260" s="60" t="inlineStr">
        <is>
          <t>KITEH</t>
        </is>
      </c>
      <c r="S260" s="56" t="n"/>
      <c r="T260" s="12" t="n"/>
      <c r="U260" s="12" t="n"/>
      <c r="V260" s="12" t="n"/>
      <c r="W260" s="91">
        <f>IF(AND(LEN(D601)&gt;=6,OR(LEFT(D601,1)="4",LEFT(D601,1)="5"),K601="9DRWM"),"SDRWM","")</f>
        <v/>
      </c>
      <c r="X260" s="123" t="inlineStr">
        <is>
          <t>5901708</t>
        </is>
      </c>
      <c r="Y260" s="122" t="n"/>
      <c r="Z260" s="122" t="n"/>
    </row>
    <row r="261" hidden="1" ht="12" customFormat="1" customHeight="1" s="46">
      <c r="A261" s="60" t="n"/>
      <c r="B261" s="61" t="inlineStr">
        <is>
          <t>.....6</t>
        </is>
      </c>
      <c r="C261" s="61" t="inlineStr">
        <is>
          <t>0020</t>
        </is>
      </c>
      <c r="D261" s="60" t="n">
        <v>597865</v>
      </c>
      <c r="L261" s="61" t="inlineStr">
        <is>
          <t>12 DIA X 20 HEX HD SHLDR SCR</t>
        </is>
      </c>
      <c r="M261" s="61" t="inlineStr">
        <is>
          <t>A 597865   R  A</t>
        </is>
      </c>
      <c r="N261" s="60" t="n">
        <v>1</v>
      </c>
      <c r="O261" s="60" t="n"/>
      <c r="P261" s="60" t="inlineStr">
        <is>
          <t>EA</t>
        </is>
      </c>
      <c r="Q261" s="60" t="n">
        <v>4</v>
      </c>
      <c r="R261" s="60" t="inlineStr">
        <is>
          <t>KITEH</t>
        </is>
      </c>
      <c r="S261" s="56" t="n"/>
      <c r="T261" s="12" t="n"/>
      <c r="U261" s="12" t="n"/>
      <c r="V261" s="12" t="n"/>
      <c r="W261" s="91">
        <f>IF(AND(LEN(D603)&gt;=6,OR(LEFT(D603,1)="4",LEFT(D603,1)="5"),K603="9DRWM"),"SDRWM","")</f>
        <v/>
      </c>
      <c r="X261" s="2" t="n"/>
    </row>
    <row r="262" hidden="1" ht="12" customFormat="1" customHeight="1" s="46">
      <c r="A262" s="60" t="n"/>
      <c r="B262" s="61" t="inlineStr">
        <is>
          <t>....5</t>
        </is>
      </c>
      <c r="C262" s="61" t="inlineStr">
        <is>
          <t>0030</t>
        </is>
      </c>
      <c r="D262" s="60" t="n">
        <v>593448</v>
      </c>
      <c r="E262" t="n">
        <v>7</v>
      </c>
      <c r="F262" t="n">
        <v>5</v>
      </c>
      <c r="G262" t="inlineStr">
        <is>
          <t>901709</t>
        </is>
      </c>
      <c r="H262" t="inlineStr">
        <is>
          <t>5901709</t>
        </is>
      </c>
      <c r="I262" t="n">
        <v>5901709</v>
      </c>
      <c r="J262" t="n">
        <v>5901709</v>
      </c>
      <c r="K262" t="n">
        <v>5901709</v>
      </c>
      <c r="L262" s="61" t="inlineStr">
        <is>
          <t>CLAMP COLLAR AS, 25MM ID</t>
        </is>
      </c>
      <c r="M262" s="61" t="inlineStr">
        <is>
          <t>A 593448   **</t>
        </is>
      </c>
      <c r="N262" s="60" t="n">
        <v>1</v>
      </c>
      <c r="O262" s="60" t="n"/>
      <c r="P262" s="60" t="inlineStr">
        <is>
          <t>EA</t>
        </is>
      </c>
      <c r="Q262" s="60" t="n">
        <v>9</v>
      </c>
      <c r="R262" s="60" t="inlineStr">
        <is>
          <t>KITEH</t>
        </is>
      </c>
      <c r="S262" s="56" t="inlineStr">
        <is>
          <t>9DRWMEH TO KITEH</t>
        </is>
      </c>
      <c r="T262" s="12" t="n"/>
      <c r="U262" s="12" t="n"/>
      <c r="V262" s="12" t="n"/>
      <c r="W262" s="91">
        <f>IF(AND(LEN(D604)&gt;=6,OR(LEFT(D604,1)="4",LEFT(D604,1)="5"),K604="9DRWM"),"SDRWM","")</f>
        <v/>
      </c>
      <c r="X262" s="123" t="inlineStr">
        <is>
          <t>5901709</t>
        </is>
      </c>
      <c r="Y262" s="122" t="n"/>
      <c r="Z262" s="122" t="n"/>
    </row>
    <row r="263" hidden="1" ht="12" customFormat="1" customHeight="1" s="46">
      <c r="A263" s="60" t="n"/>
      <c r="B263" s="61" t="inlineStr">
        <is>
          <t>.....6</t>
        </is>
      </c>
      <c r="C263" s="61" t="inlineStr">
        <is>
          <t>0010</t>
        </is>
      </c>
      <c r="D263" s="60" t="n">
        <v>593449</v>
      </c>
      <c r="E263" t="n">
        <v>9</v>
      </c>
      <c r="F263" t="n">
        <v>5</v>
      </c>
      <c r="G263" t="inlineStr">
        <is>
          <t>90171001</t>
        </is>
      </c>
      <c r="H263" t="inlineStr">
        <is>
          <t>590171001</t>
        </is>
      </c>
      <c r="I263" t="n">
        <v>590171001</v>
      </c>
      <c r="J263" t="n">
        <v>590171001</v>
      </c>
      <c r="K263" t="n">
        <v>5901710</v>
      </c>
      <c r="L263" s="61" t="inlineStr">
        <is>
          <t>CLAMP COLLAR, 25MM ID</t>
        </is>
      </c>
      <c r="M263" s="61" t="inlineStr">
        <is>
          <t>A 593449   R 01</t>
        </is>
      </c>
      <c r="N263" s="60" t="n">
        <v>1</v>
      </c>
      <c r="O263" s="60" t="n"/>
      <c r="P263" s="60" t="inlineStr">
        <is>
          <t>EA</t>
        </is>
      </c>
      <c r="Q263" s="60" t="n">
        <v>4</v>
      </c>
      <c r="R263" s="60" t="inlineStr">
        <is>
          <t>KITEH</t>
        </is>
      </c>
      <c r="S263" s="56" t="n"/>
      <c r="T263" s="12" t="n"/>
      <c r="U263" s="12" t="n"/>
      <c r="V263" s="12" t="n"/>
      <c r="W263" s="91">
        <f>IF(AND(LEN(D605)&gt;=6,OR(LEFT(D605,1)="4",LEFT(D605,1)="5"),K605="9DRWM"),"SDRWM","")</f>
        <v/>
      </c>
      <c r="X263" s="123" t="inlineStr">
        <is>
          <t>590171001</t>
        </is>
      </c>
      <c r="Y263" s="122" t="n"/>
      <c r="Z263" s="122" t="n"/>
    </row>
    <row r="264" hidden="1" ht="12" customFormat="1" customHeight="1" s="46">
      <c r="A264" s="60" t="n"/>
      <c r="B264" s="61" t="inlineStr">
        <is>
          <t>....5</t>
        </is>
      </c>
      <c r="C264" s="61" t="inlineStr">
        <is>
          <t>0040</t>
        </is>
      </c>
      <c r="D264" s="60" t="n">
        <v>585476</v>
      </c>
      <c r="L264" s="61" t="inlineStr">
        <is>
          <t>12T SPROCKET ASSY</t>
        </is>
      </c>
      <c r="M264" s="61" t="inlineStr">
        <is>
          <t>A 585476   ** A</t>
        </is>
      </c>
      <c r="N264" s="60" t="n">
        <v>1</v>
      </c>
      <c r="O264" s="60" t="n"/>
      <c r="P264" s="60" t="inlineStr">
        <is>
          <t>EA</t>
        </is>
      </c>
      <c r="Q264" s="60" t="n">
        <v>9</v>
      </c>
      <c r="R264" s="60" t="inlineStr">
        <is>
          <t>KITEH</t>
        </is>
      </c>
      <c r="S264" s="56" t="n"/>
      <c r="T264" s="12" t="n"/>
      <c r="U264" s="12" t="n"/>
      <c r="V264" s="12" t="n"/>
      <c r="W264" s="91">
        <f>IF(AND(LEN(D607)&gt;=6,OR(LEFT(D607,1)="4",LEFT(D607,1)="5"),K607="9DRWM"),"SDRWM","")</f>
        <v/>
      </c>
      <c r="X264" s="2" t="n"/>
    </row>
    <row r="265" hidden="1" ht="12" customFormat="1" customHeight="1" s="42">
      <c r="A265" s="60" t="n"/>
      <c r="B265" s="61" t="inlineStr">
        <is>
          <t>.....6</t>
        </is>
      </c>
      <c r="C265" s="61" t="inlineStr">
        <is>
          <t>0010</t>
        </is>
      </c>
      <c r="D265" s="60" t="n">
        <v>585474</v>
      </c>
      <c r="L265" s="61" t="inlineStr">
        <is>
          <t>SPROCKET 35B12 HARDEN</t>
        </is>
      </c>
      <c r="M265" s="61" t="inlineStr">
        <is>
          <t>A 585474   R  E</t>
        </is>
      </c>
      <c r="N265" s="60" t="n">
        <v>1</v>
      </c>
      <c r="O265" s="60" t="n"/>
      <c r="P265" s="60" t="inlineStr">
        <is>
          <t>EA</t>
        </is>
      </c>
      <c r="Q265" s="60" t="n">
        <v>4</v>
      </c>
      <c r="R265" s="60" t="inlineStr">
        <is>
          <t>KITEH</t>
        </is>
      </c>
      <c r="S265" s="56" t="n"/>
      <c r="T265" s="12" t="n"/>
      <c r="U265" s="12" t="n"/>
      <c r="V265" s="12" t="n"/>
      <c r="W265" s="91">
        <f>IF(AND(LEN(D608)&gt;=6,OR(LEFT(D608,1)="4",LEFT(D608,1)="5"),K608="9DRWM"),"SDRWM","")</f>
        <v/>
      </c>
      <c r="X265" s="2" t="n"/>
    </row>
    <row r="266" hidden="1" ht="12" customFormat="1" customHeight="1" s="42">
      <c r="A266" s="60" t="n"/>
      <c r="B266" s="61" t="inlineStr">
        <is>
          <t>.....6</t>
        </is>
      </c>
      <c r="C266" s="61" t="inlineStr">
        <is>
          <t>0020</t>
        </is>
      </c>
      <c r="D266" s="60" t="n">
        <v>595104</v>
      </c>
      <c r="L266" s="61" t="inlineStr">
        <is>
          <t>IGUS SLEEVE BRG, 12ID X 18 LG</t>
        </is>
      </c>
      <c r="M266" s="61" t="inlineStr">
        <is>
          <t>A 595104   R</t>
        </is>
      </c>
      <c r="N266" s="60" t="n">
        <v>1</v>
      </c>
      <c r="O266" s="60" t="n"/>
      <c r="P266" s="60" t="inlineStr">
        <is>
          <t>EA</t>
        </is>
      </c>
      <c r="Q266" s="60" t="n">
        <v>4</v>
      </c>
      <c r="R266" s="60" t="inlineStr">
        <is>
          <t>KITEH</t>
        </is>
      </c>
      <c r="S266" s="56" t="n"/>
      <c r="T266" s="12" t="n"/>
      <c r="U266" s="12" t="n"/>
      <c r="V266" s="12" t="n"/>
      <c r="W266" s="91">
        <f>IF(AND(LEN(D609)&gt;=6,OR(LEFT(D609,1)="4",LEFT(D609,1)="5"),K609="9DRWM"),"SDRWM","")</f>
        <v/>
      </c>
      <c r="X266" s="2" t="n"/>
    </row>
    <row r="267" hidden="1" ht="12" customFormat="1" customHeight="1" s="42">
      <c r="A267" s="60" t="n"/>
      <c r="B267" s="61" t="inlineStr">
        <is>
          <t>....5</t>
        </is>
      </c>
      <c r="C267" s="61" t="inlineStr">
        <is>
          <t>0050</t>
        </is>
      </c>
      <c r="D267" s="60" t="n">
        <v>571640</v>
      </c>
      <c r="E267" t="n">
        <v>9</v>
      </c>
      <c r="F267" t="n">
        <v>5</v>
      </c>
      <c r="G267" t="inlineStr">
        <is>
          <t>90171002</t>
        </is>
      </c>
      <c r="H267" t="inlineStr">
        <is>
          <t>590171002</t>
        </is>
      </c>
      <c r="I267" t="n">
        <v>590171002</v>
      </c>
      <c r="J267" t="n">
        <v>590171002</v>
      </c>
      <c r="K267" t="n">
        <v>5901710</v>
      </c>
      <c r="L267" s="61" t="inlineStr">
        <is>
          <t>EXIT/ENTRANCE GUIDE</t>
        </is>
      </c>
      <c r="M267" s="61" t="inlineStr">
        <is>
          <t>A  571640  R  B</t>
        </is>
      </c>
      <c r="N267" s="60" t="n">
        <v>1</v>
      </c>
      <c r="O267" s="60" t="n"/>
      <c r="P267" s="60" t="inlineStr">
        <is>
          <t>EA</t>
        </is>
      </c>
      <c r="Q267" s="60" t="n">
        <v>4</v>
      </c>
      <c r="R267" s="60" t="inlineStr">
        <is>
          <t>KITEH</t>
        </is>
      </c>
      <c r="S267" s="56" t="n"/>
      <c r="T267" s="12" t="n"/>
      <c r="U267" s="12" t="n"/>
      <c r="V267" s="12" t="n"/>
      <c r="W267" s="91">
        <f>IF(AND(LEN(D610)&gt;=6,OR(LEFT(D610,1)="4",LEFT(D610,1)="5"),K610="9DRWM"),"SDRWM","")</f>
        <v/>
      </c>
      <c r="X267" s="123" t="inlineStr">
        <is>
          <t>590171002</t>
        </is>
      </c>
      <c r="Y267" s="122" t="n"/>
      <c r="Z267" s="122" t="n"/>
    </row>
    <row r="268" hidden="1" ht="12" customFormat="1" customHeight="1" s="42">
      <c r="A268" s="60" t="n"/>
      <c r="B268" s="61" t="inlineStr">
        <is>
          <t>....5</t>
        </is>
      </c>
      <c r="C268" s="61" t="inlineStr">
        <is>
          <t>0060</t>
        </is>
      </c>
      <c r="D268" s="60" t="n">
        <v>59891001</v>
      </c>
      <c r="E268" t="n">
        <v>9</v>
      </c>
      <c r="F268" t="n">
        <v>5</v>
      </c>
      <c r="G268" t="inlineStr">
        <is>
          <t>90171101</t>
        </is>
      </c>
      <c r="H268" t="inlineStr">
        <is>
          <t>590171101</t>
        </is>
      </c>
      <c r="I268" t="n">
        <v>590171101</v>
      </c>
      <c r="J268" t="n">
        <v>590171101</v>
      </c>
      <c r="K268" t="n">
        <v>5901711</v>
      </c>
      <c r="L268" s="61" t="inlineStr">
        <is>
          <t>SUPPORT PIN 24.8</t>
        </is>
      </c>
      <c r="M268" s="61" t="inlineStr">
        <is>
          <t>A 598910XX R</t>
        </is>
      </c>
      <c r="N268" s="60" t="n">
        <v>1</v>
      </c>
      <c r="O268" s="60" t="n"/>
      <c r="P268" s="60" t="inlineStr">
        <is>
          <t>EA</t>
        </is>
      </c>
      <c r="Q268" s="60" t="n">
        <v>4</v>
      </c>
      <c r="R268" s="60" t="inlineStr">
        <is>
          <t>KITEH</t>
        </is>
      </c>
      <c r="S268" s="56" t="n"/>
      <c r="T268" s="12" t="n"/>
      <c r="U268" s="12" t="n"/>
      <c r="V268" s="12" t="n"/>
      <c r="W268" s="91">
        <f>IF(AND(LEN(D611)&gt;=6,OR(LEFT(D611,1)="4",LEFT(D611,1)="5"),K611="9DRWM"),"SDRWM","")</f>
        <v/>
      </c>
      <c r="X268" s="123" t="inlineStr">
        <is>
          <t>590171101</t>
        </is>
      </c>
      <c r="Y268" s="122" t="n"/>
      <c r="Z268" s="122" t="n"/>
    </row>
    <row r="269" ht="12" customFormat="1" customHeight="1" s="42">
      <c r="A269" s="60" t="n"/>
      <c r="B269" s="61" t="inlineStr">
        <is>
          <t>.....6</t>
        </is>
      </c>
      <c r="C269" s="61" t="inlineStr">
        <is>
          <t>0010</t>
        </is>
      </c>
      <c r="D269" s="60" t="n">
        <v>595978</v>
      </c>
      <c r="L269" s="61" t="inlineStr">
        <is>
          <t>PANEL, LARGE BLANK, 2043MK5</t>
        </is>
      </c>
      <c r="M269" s="61" t="inlineStr">
        <is>
          <t>D 595978   R</t>
        </is>
      </c>
      <c r="N269" s="60" t="n">
        <v>2</v>
      </c>
      <c r="O269" s="60" t="n"/>
      <c r="P269" s="60" t="inlineStr">
        <is>
          <t>EA</t>
        </is>
      </c>
      <c r="Q269" s="60" t="n">
        <v>4</v>
      </c>
      <c r="R269" s="60" t="inlineStr">
        <is>
          <t>KITM</t>
        </is>
      </c>
      <c r="S269" s="56" t="n"/>
      <c r="T269" s="12" t="n"/>
      <c r="U269" s="12" t="n"/>
      <c r="V269" s="12" t="n"/>
      <c r="W269" s="91">
        <f>IF(AND(LEN(D613)&gt;=6,OR(LEFT(D613,1)="4",LEFT(D613,1)="5"),K613="9DRWM"),"SDRWM","")</f>
        <v/>
      </c>
      <c r="X269" s="2" t="n"/>
    </row>
    <row r="270" hidden="1" ht="12" customFormat="1" customHeight="1" s="42">
      <c r="A270" s="60" t="n"/>
      <c r="B270" s="61" t="inlineStr">
        <is>
          <t>...4</t>
        </is>
      </c>
      <c r="C270" s="61" t="inlineStr">
        <is>
          <t>0030</t>
        </is>
      </c>
      <c r="D270" s="60" t="n">
        <v>590418605</v>
      </c>
      <c r="E270" t="n">
        <v>9</v>
      </c>
      <c r="F270" t="n">
        <v>5</v>
      </c>
      <c r="G270" t="inlineStr">
        <is>
          <t>90363301</t>
        </is>
      </c>
      <c r="H270" t="inlineStr">
        <is>
          <t>590363301</t>
        </is>
      </c>
      <c r="I270" t="n">
        <v>590363301</v>
      </c>
      <c r="J270" t="n">
        <v>590363301</v>
      </c>
      <c r="K270" t="n">
        <v>5903633</v>
      </c>
      <c r="L270" s="61" t="inlineStr">
        <is>
          <t>ENTR MOVABLE EHC PLATE ASY,MK7</t>
        </is>
      </c>
      <c r="M270" s="61" t="inlineStr">
        <is>
          <t>C 5904186XXR</t>
        </is>
      </c>
      <c r="N270" s="60" t="n">
        <v>1</v>
      </c>
      <c r="O270" s="60" t="n"/>
      <c r="P270" s="60" t="inlineStr">
        <is>
          <t>EA</t>
        </is>
      </c>
      <c r="Q270" s="60" t="n">
        <v>0</v>
      </c>
      <c r="R270" s="60" t="n"/>
      <c r="S270" s="56" t="inlineStr">
        <is>
          <t>9DRWMEH TO BLANK</t>
        </is>
      </c>
      <c r="T270" s="12" t="n"/>
      <c r="U270" s="12" t="n"/>
      <c r="V270" s="12" t="n"/>
      <c r="W270" s="91">
        <f>IF(AND(LEN(D619)&gt;=6,OR(LEFT(D619,1)="4",LEFT(D619,1)="5"),K619="9DRWM"),"SDRWM","")</f>
        <v/>
      </c>
      <c r="X270" s="123" t="inlineStr">
        <is>
          <t>590363301</t>
        </is>
      </c>
      <c r="Y270" s="122" t="n"/>
      <c r="Z270" s="122" t="n"/>
    </row>
    <row r="271" hidden="1" ht="12" customFormat="1" customHeight="1" s="42">
      <c r="A271" s="60" t="n"/>
      <c r="B271" s="61" t="inlineStr">
        <is>
          <t>....5</t>
        </is>
      </c>
      <c r="C271" s="61" t="inlineStr">
        <is>
          <t>0010</t>
        </is>
      </c>
      <c r="D271" s="60" t="n">
        <v>590418901</v>
      </c>
      <c r="L271" s="61" t="inlineStr">
        <is>
          <t>ENTR MOVABLE PLATE ASSY,MK7</t>
        </is>
      </c>
      <c r="M271" s="61" t="inlineStr">
        <is>
          <t>C 5904189XXR</t>
        </is>
      </c>
      <c r="N271" s="60" t="n">
        <v>1</v>
      </c>
      <c r="O271" s="60" t="n"/>
      <c r="P271" s="60" t="inlineStr">
        <is>
          <t>EA</t>
        </is>
      </c>
      <c r="Q271" s="60" t="n">
        <v>0</v>
      </c>
      <c r="R271" s="60" t="n"/>
      <c r="S271" s="56" t="inlineStr">
        <is>
          <t>9DRWMEH TO BLANK</t>
        </is>
      </c>
      <c r="T271" s="12" t="n"/>
      <c r="U271" s="12" t="n"/>
      <c r="V271" s="12" t="n"/>
      <c r="W271" s="91">
        <f>IF(AND(LEN(D620)&gt;=6,OR(LEFT(D620,1)="4",LEFT(D620,1)="5"),K620="9DRWM"),"SDRWM","")</f>
        <v/>
      </c>
      <c r="X271" s="2" t="n"/>
    </row>
    <row r="272" hidden="1" ht="12" customFormat="1" customHeight="1" s="42">
      <c r="A272" s="60" t="n"/>
      <c r="B272" s="61" t="inlineStr">
        <is>
          <t>.....6</t>
        </is>
      </c>
      <c r="C272" s="61" t="inlineStr">
        <is>
          <t>0010</t>
        </is>
      </c>
      <c r="D272" s="60" t="n">
        <v>59889101</v>
      </c>
      <c r="L272" s="61" t="inlineStr">
        <is>
          <t>DUAL EHC PLATE DETAIL,MOVE,MK7</t>
        </is>
      </c>
      <c r="M272" s="61" t="inlineStr">
        <is>
          <t>C 598891XX R  D</t>
        </is>
      </c>
      <c r="N272" s="60" t="n">
        <v>1</v>
      </c>
      <c r="O272" s="60" t="n"/>
      <c r="P272" s="60" t="inlineStr">
        <is>
          <t>EA</t>
        </is>
      </c>
      <c r="Q272" s="60" t="n">
        <v>4</v>
      </c>
      <c r="R272" s="60" t="inlineStr">
        <is>
          <t>KITEH</t>
        </is>
      </c>
      <c r="S272" s="56" t="n"/>
      <c r="T272" s="12" t="n"/>
      <c r="U272" s="12" t="n"/>
      <c r="V272" s="12" t="n"/>
      <c r="W272" s="91">
        <f>IF(AND(LEN(D621)&gt;=6,OR(LEFT(D621,1)="4",LEFT(D621,1)="5"),K621="9DRWM"),"SDRWM","")</f>
        <v/>
      </c>
    </row>
    <row r="273" hidden="1" ht="12" customFormat="1" customHeight="1" s="42">
      <c r="A273" s="60" t="n"/>
      <c r="B273" s="61" t="inlineStr">
        <is>
          <t>.....6</t>
        </is>
      </c>
      <c r="C273" s="61" t="inlineStr">
        <is>
          <t>0020</t>
        </is>
      </c>
      <c r="D273" s="60" t="n">
        <v>5904196</v>
      </c>
      <c r="L273" s="61" t="inlineStr">
        <is>
          <t>BRONZE NUT,TR20 SCREW,MK7</t>
        </is>
      </c>
      <c r="M273" s="61" t="inlineStr">
        <is>
          <t>A 5904196  R</t>
        </is>
      </c>
      <c r="N273" s="60" t="n">
        <v>1</v>
      </c>
      <c r="O273" s="60" t="n"/>
      <c r="P273" s="60" t="inlineStr">
        <is>
          <t>EA</t>
        </is>
      </c>
      <c r="Q273" s="60" t="n">
        <v>4</v>
      </c>
      <c r="R273" s="60" t="inlineStr">
        <is>
          <t>LTRNM</t>
        </is>
      </c>
      <c r="S273" s="56" t="n"/>
      <c r="T273" s="12" t="n"/>
      <c r="U273" s="12" t="n"/>
      <c r="V273" s="12" t="n"/>
      <c r="W273" s="91">
        <f>IF(AND(LEN(D622)&gt;=6,OR(LEFT(D622,1)="4",LEFT(D622,1)="5"),K622="9DRWM"),"SDRWM","")</f>
        <v/>
      </c>
    </row>
    <row r="274" hidden="1" ht="12" customFormat="1" customHeight="1" s="46">
      <c r="A274" s="60" t="n"/>
      <c r="B274" s="61" t="inlineStr">
        <is>
          <t>....5</t>
        </is>
      </c>
      <c r="C274" s="61" t="inlineStr">
        <is>
          <t>0020</t>
        </is>
      </c>
      <c r="D274" s="60" t="n">
        <v>594823</v>
      </c>
      <c r="E274" t="n">
        <v>9</v>
      </c>
      <c r="F274" t="n">
        <v>5</v>
      </c>
      <c r="G274" t="inlineStr">
        <is>
          <t>90363401</t>
        </is>
      </c>
      <c r="H274" t="inlineStr">
        <is>
          <t>590363401</t>
        </is>
      </c>
      <c r="I274" t="n">
        <v>590363401</v>
      </c>
      <c r="J274" t="n">
        <v>590363401</v>
      </c>
      <c r="K274" t="n">
        <v>5903634</v>
      </c>
      <c r="L274" s="61" t="inlineStr">
        <is>
          <t>IDLER ROLLER ASSY</t>
        </is>
      </c>
      <c r="M274" s="61" t="inlineStr">
        <is>
          <t>A 594823   ** A</t>
        </is>
      </c>
      <c r="N274" s="60" t="n">
        <v>1</v>
      </c>
      <c r="O274" s="60" t="n"/>
      <c r="P274" s="60" t="inlineStr">
        <is>
          <t>EA</t>
        </is>
      </c>
      <c r="Q274" s="60" t="n">
        <v>9</v>
      </c>
      <c r="R274" s="60" t="inlineStr">
        <is>
          <t>KITEH</t>
        </is>
      </c>
      <c r="S274" s="56" t="inlineStr">
        <is>
          <t>9DRWMEH TO KITEH</t>
        </is>
      </c>
      <c r="T274" s="12" t="n"/>
      <c r="U274" s="12" t="n"/>
      <c r="V274" s="12" t="n"/>
      <c r="W274" s="91">
        <f>IF(AND(LEN(D624)&gt;=6,OR(LEFT(D624,1)="4",LEFT(D624,1)="5"),K624="9DRWM"),"SDRWM","")</f>
        <v/>
      </c>
      <c r="X274" s="123" t="inlineStr">
        <is>
          <t>590363401</t>
        </is>
      </c>
      <c r="Y274" s="122" t="n"/>
      <c r="Z274" s="122" t="n"/>
    </row>
    <row r="275" hidden="1" ht="12" customFormat="1" customHeight="1" s="46">
      <c r="A275" s="60" t="n"/>
      <c r="B275" s="61" t="inlineStr">
        <is>
          <t>.....6</t>
        </is>
      </c>
      <c r="C275" s="61" t="inlineStr">
        <is>
          <t>0010</t>
        </is>
      </c>
      <c r="D275" s="60" t="n">
        <v>595443</v>
      </c>
      <c r="E275" t="n">
        <v>7</v>
      </c>
      <c r="F275" t="n">
        <v>5</v>
      </c>
      <c r="G275" t="inlineStr">
        <is>
          <t>903786</t>
        </is>
      </c>
      <c r="H275" t="inlineStr">
        <is>
          <t>5903786</t>
        </is>
      </c>
      <c r="I275" t="n">
        <v>5903786</v>
      </c>
      <c r="J275" t="n">
        <v>5903786</v>
      </c>
      <c r="K275" t="n">
        <v>5903786</v>
      </c>
      <c r="L275" s="61" t="inlineStr">
        <is>
          <t>IDLE ROLLER IGUS ASSY</t>
        </is>
      </c>
      <c r="M275" s="61" t="inlineStr">
        <is>
          <t>A 595443   **</t>
        </is>
      </c>
      <c r="N275" s="60" t="n">
        <v>1</v>
      </c>
      <c r="O275" s="60" t="n"/>
      <c r="P275" s="60" t="inlineStr">
        <is>
          <t>EA</t>
        </is>
      </c>
      <c r="Q275" s="60" t="n">
        <v>9</v>
      </c>
      <c r="R275" s="60" t="inlineStr">
        <is>
          <t>KITEH</t>
        </is>
      </c>
      <c r="S275" s="56" t="n"/>
      <c r="T275" s="12" t="n"/>
      <c r="U275" s="12" t="n"/>
      <c r="V275" s="12" t="n"/>
      <c r="W275" s="91">
        <f>IF(AND(LEN(D625)&gt;=6,OR(LEFT(D625,1)="4",LEFT(D625,1)="5"),K625="9DRWM"),"SDRWM","")</f>
        <v/>
      </c>
      <c r="X275" s="122" t="inlineStr">
        <is>
          <t>5903786</t>
        </is>
      </c>
      <c r="Y275" s="122" t="n"/>
      <c r="Z275" s="122" t="n"/>
    </row>
    <row r="276" hidden="1" ht="12" customFormat="1" customHeight="1" s="46">
      <c r="A276" s="60" t="n"/>
      <c r="B276" s="61" t="inlineStr">
        <is>
          <t>......7</t>
        </is>
      </c>
      <c r="C276" s="61" t="inlineStr">
        <is>
          <t>0010</t>
        </is>
      </c>
      <c r="D276" s="60" t="n">
        <v>595444</v>
      </c>
      <c r="E276" t="n">
        <v>7</v>
      </c>
      <c r="F276" t="n">
        <v>5</v>
      </c>
      <c r="G276" t="inlineStr">
        <is>
          <t>903786</t>
        </is>
      </c>
      <c r="H276" t="inlineStr">
        <is>
          <t>5903786</t>
        </is>
      </c>
      <c r="I276" t="n">
        <v>5903786</v>
      </c>
      <c r="J276" t="n">
        <v>5903786</v>
      </c>
      <c r="K276" t="n">
        <v>5903786</v>
      </c>
      <c r="L276" s="61" t="inlineStr">
        <is>
          <t>IDLER ROLLER OD31.5</t>
        </is>
      </c>
      <c r="M276" s="61" t="inlineStr">
        <is>
          <t>B 595444   R  A</t>
        </is>
      </c>
      <c r="N276" s="60" t="n">
        <v>1</v>
      </c>
      <c r="O276" s="60" t="n"/>
      <c r="P276" s="60" t="inlineStr">
        <is>
          <t>EA</t>
        </is>
      </c>
      <c r="Q276" s="60" t="n">
        <v>4</v>
      </c>
      <c r="R276" s="60" t="inlineStr">
        <is>
          <t>KITEH</t>
        </is>
      </c>
      <c r="S276" s="56" t="n"/>
      <c r="T276" s="12" t="n"/>
      <c r="U276" s="12" t="n"/>
      <c r="V276" s="12" t="n"/>
      <c r="W276" s="91">
        <f>IF(AND(LEN(D626)&gt;=6,OR(LEFT(D626,1)="4",LEFT(D626,1)="5"),K626="9DRWM"),"SDRWM","")</f>
        <v/>
      </c>
      <c r="X276" s="123" t="inlineStr">
        <is>
          <t>5903786</t>
        </is>
      </c>
      <c r="Y276" s="122" t="n"/>
      <c r="Z276" s="122" t="n"/>
    </row>
    <row r="277" hidden="1" ht="12" customFormat="1" customHeight="1" s="46">
      <c r="A277" s="60" t="n"/>
      <c r="B277" s="61" t="inlineStr">
        <is>
          <t>.....6</t>
        </is>
      </c>
      <c r="C277" s="61" t="inlineStr">
        <is>
          <t>0020</t>
        </is>
      </c>
      <c r="D277" s="60" t="n">
        <v>597865</v>
      </c>
      <c r="E277" t="n">
        <v>7</v>
      </c>
      <c r="F277" t="n">
        <v>5</v>
      </c>
      <c r="G277" t="inlineStr">
        <is>
          <t>904113</t>
        </is>
      </c>
      <c r="H277" t="inlineStr">
        <is>
          <t>5904113</t>
        </is>
      </c>
      <c r="I277" t="n">
        <v>5904113</v>
      </c>
      <c r="J277" t="n">
        <v>5904113</v>
      </c>
      <c r="K277" t="n">
        <v>5904113</v>
      </c>
      <c r="L277" s="61" t="inlineStr">
        <is>
          <t>12 DIA X 20 HEX HD SHLDR SCR</t>
        </is>
      </c>
      <c r="M277" s="61" t="inlineStr">
        <is>
          <t>A 597865   R  A</t>
        </is>
      </c>
      <c r="N277" s="60" t="n">
        <v>1</v>
      </c>
      <c r="O277" s="60" t="n"/>
      <c r="P277" s="60" t="inlineStr">
        <is>
          <t>EA</t>
        </is>
      </c>
      <c r="Q277" s="60" t="n">
        <v>4</v>
      </c>
      <c r="R277" s="60" t="inlineStr">
        <is>
          <t>KITEH</t>
        </is>
      </c>
      <c r="S277" s="56" t="n"/>
      <c r="T277" s="12" t="n"/>
      <c r="U277" s="12" t="n"/>
      <c r="V277" s="12" t="n"/>
      <c r="W277" s="91">
        <f>IF(AND(LEN(D628)&gt;=6,OR(LEFT(D628,1)="4",LEFT(D628,1)="5"),K628="9DRWM"),"SDRWM","")</f>
        <v/>
      </c>
      <c r="X277" s="123" t="n"/>
      <c r="Y277" s="122" t="n"/>
      <c r="Z277" s="122" t="n"/>
    </row>
    <row r="278" hidden="1" ht="12" customFormat="1" customHeight="1" s="46">
      <c r="A278" s="60" t="n"/>
      <c r="B278" s="61" t="inlineStr">
        <is>
          <t>....5</t>
        </is>
      </c>
      <c r="C278" s="61" t="inlineStr">
        <is>
          <t>0030</t>
        </is>
      </c>
      <c r="D278" s="60" t="n">
        <v>598899</v>
      </c>
      <c r="E278" t="n">
        <v>7</v>
      </c>
      <c r="F278" t="n">
        <v>5</v>
      </c>
      <c r="G278" t="inlineStr">
        <is>
          <t>904409</t>
        </is>
      </c>
      <c r="H278" t="inlineStr">
        <is>
          <t>5904409</t>
        </is>
      </c>
      <c r="I278" t="n">
        <v>5904409</v>
      </c>
      <c r="J278" t="n">
        <v>5904409</v>
      </c>
      <c r="K278" t="n">
        <v>5904409</v>
      </c>
      <c r="L278" s="61" t="inlineStr">
        <is>
          <t>KEY (FOR LINEAR BEARING),MK7</t>
        </is>
      </c>
      <c r="M278" s="61" t="inlineStr">
        <is>
          <t>A 598899   R</t>
        </is>
      </c>
      <c r="N278" s="60" t="n">
        <v>1</v>
      </c>
      <c r="O278" s="60" t="n"/>
      <c r="P278" s="60" t="inlineStr">
        <is>
          <t>EA</t>
        </is>
      </c>
      <c r="Q278" s="60" t="n">
        <v>4</v>
      </c>
      <c r="R278" s="60" t="inlineStr">
        <is>
          <t>KITEH</t>
        </is>
      </c>
      <c r="S278" s="56" t="n"/>
      <c r="T278" s="12" t="n"/>
      <c r="U278" s="12" t="n"/>
      <c r="V278" s="12" t="n"/>
      <c r="W278" s="91">
        <f>IF(AND(LEN(D629)&gt;=6,OR(LEFT(D629,1)="4",LEFT(D629,1)="5"),K629="9DRWM"),"SDRWM","")</f>
        <v/>
      </c>
      <c r="X278" s="123" t="n"/>
      <c r="Y278" s="122" t="n"/>
      <c r="Z278" s="122" t="n"/>
    </row>
    <row r="279" hidden="1" ht="12" customFormat="1" customHeight="1" s="46">
      <c r="A279" s="60" t="n"/>
      <c r="B279" s="61" t="inlineStr">
        <is>
          <t>....5</t>
        </is>
      </c>
      <c r="C279" s="61" t="inlineStr">
        <is>
          <t>0050</t>
        </is>
      </c>
      <c r="D279" s="60" t="n">
        <v>585476</v>
      </c>
      <c r="E279" t="n">
        <v>7</v>
      </c>
      <c r="F279" t="n">
        <v>5</v>
      </c>
      <c r="G279" t="inlineStr">
        <is>
          <t>904413</t>
        </is>
      </c>
      <c r="H279" t="inlineStr">
        <is>
          <t>5904413</t>
        </is>
      </c>
      <c r="I279" t="n">
        <v>5904413</v>
      </c>
      <c r="J279" t="n">
        <v>5904413</v>
      </c>
      <c r="K279" t="n">
        <v>5904413</v>
      </c>
      <c r="L279" s="61" t="inlineStr">
        <is>
          <t>12T SPROCKET ASSY</t>
        </is>
      </c>
      <c r="M279" s="61" t="inlineStr">
        <is>
          <t>A 585476   ** A</t>
        </is>
      </c>
      <c r="N279" s="60" t="n">
        <v>1</v>
      </c>
      <c r="O279" s="60" t="n"/>
      <c r="P279" s="60" t="inlineStr">
        <is>
          <t>EA</t>
        </is>
      </c>
      <c r="Q279" s="60" t="n">
        <v>9</v>
      </c>
      <c r="R279" s="60" t="inlineStr">
        <is>
          <t>KITEH</t>
        </is>
      </c>
      <c r="S279" s="56" t="n"/>
      <c r="T279" s="12" t="n"/>
      <c r="U279" s="12" t="n"/>
      <c r="V279" s="12" t="n"/>
      <c r="W279" s="91">
        <f>IF(AND(LEN(D631)&gt;=6,OR(LEFT(D631,1)="4",LEFT(D631,1)="5"),K631="9DRWM"),"SDRWM","")</f>
        <v/>
      </c>
      <c r="X279" s="122" t="n"/>
      <c r="Y279" s="122" t="n"/>
      <c r="Z279" s="122" t="n"/>
    </row>
    <row r="280" hidden="1" ht="12" customFormat="1" customHeight="1" s="46">
      <c r="A280" s="60" t="n"/>
      <c r="B280" s="61" t="inlineStr">
        <is>
          <t>.....6</t>
        </is>
      </c>
      <c r="C280" s="61" t="inlineStr">
        <is>
          <t>0010</t>
        </is>
      </c>
      <c r="D280" s="60" t="n">
        <v>585474</v>
      </c>
      <c r="L280" s="61" t="inlineStr">
        <is>
          <t>SPROCKET 35B12 HARDEN</t>
        </is>
      </c>
      <c r="M280" s="61" t="inlineStr">
        <is>
          <t>A 585474   R  E</t>
        </is>
      </c>
      <c r="N280" s="60" t="n">
        <v>1</v>
      </c>
      <c r="O280" s="60" t="n"/>
      <c r="P280" s="60" t="inlineStr">
        <is>
          <t>EA</t>
        </is>
      </c>
      <c r="Q280" s="60" t="n">
        <v>4</v>
      </c>
      <c r="R280" s="60" t="inlineStr">
        <is>
          <t>KITEH</t>
        </is>
      </c>
      <c r="S280" s="56" t="n"/>
      <c r="T280" s="12" t="n"/>
      <c r="U280" s="12" t="n"/>
      <c r="V280" s="12" t="n"/>
      <c r="W280" s="91">
        <f>IF(AND(LEN(D632)&gt;=6,OR(LEFT(D632,1)="4",LEFT(D632,1)="5"),K632="9DRWM"),"SDRWM","")</f>
        <v/>
      </c>
    </row>
    <row r="281" hidden="1" ht="12" customFormat="1" customHeight="1" s="46">
      <c r="A281" s="60" t="n"/>
      <c r="B281" s="61" t="inlineStr">
        <is>
          <t>.....6</t>
        </is>
      </c>
      <c r="C281" s="61" t="inlineStr">
        <is>
          <t>0020</t>
        </is>
      </c>
      <c r="D281" s="60" t="n">
        <v>595104</v>
      </c>
      <c r="L281" s="61" t="inlineStr">
        <is>
          <t>IGUS SLEEVE BRG, 12ID X 18 LG</t>
        </is>
      </c>
      <c r="M281" s="61" t="inlineStr">
        <is>
          <t>A 595104   R</t>
        </is>
      </c>
      <c r="N281" s="60" t="n">
        <v>1</v>
      </c>
      <c r="O281" s="60" t="n"/>
      <c r="P281" s="60" t="inlineStr">
        <is>
          <t>EA</t>
        </is>
      </c>
      <c r="Q281" s="60" t="n">
        <v>4</v>
      </c>
      <c r="R281" s="60" t="inlineStr">
        <is>
          <t>KITEH</t>
        </is>
      </c>
      <c r="S281" s="56" t="n"/>
      <c r="T281" s="12" t="n"/>
      <c r="U281" s="12" t="n"/>
      <c r="V281" s="12" t="n"/>
      <c r="W281" s="91">
        <f>IF(AND(LEN(D633)&gt;=6,OR(LEFT(D633,1)="4",LEFT(D633,1)="5"),K633="9DRWM"),"SDRWM","")</f>
        <v/>
      </c>
    </row>
    <row r="282" ht="12" customFormat="1" customHeight="1" s="46">
      <c r="A282" s="60" t="n"/>
      <c r="B282" s="61" t="inlineStr">
        <is>
          <t>..3</t>
        </is>
      </c>
      <c r="C282" s="61" t="inlineStr">
        <is>
          <t>0100</t>
        </is>
      </c>
      <c r="D282" s="60" t="n">
        <v>596083</v>
      </c>
      <c r="E282" t="n">
        <v>7</v>
      </c>
      <c r="F282" t="n">
        <v>5</v>
      </c>
      <c r="G282" t="inlineStr">
        <is>
          <t>904436</t>
        </is>
      </c>
      <c r="H282" t="inlineStr">
        <is>
          <t>5904436</t>
        </is>
      </c>
      <c r="I282" t="n">
        <v>5904436</v>
      </c>
      <c r="J282" t="n">
        <v>5904436</v>
      </c>
      <c r="K282" t="n">
        <v>5904436</v>
      </c>
      <c r="L282" s="61" t="inlineStr">
        <is>
          <t>BRACKET,POWER LIFT,MIDDLE,1PCS</t>
        </is>
      </c>
      <c r="M282" s="61" t="inlineStr">
        <is>
          <t>B 596083   R A</t>
        </is>
      </c>
      <c r="N282" s="60" t="n">
        <v>2</v>
      </c>
      <c r="O282" s="60" t="n"/>
      <c r="P282" s="60" t="inlineStr">
        <is>
          <t>EA</t>
        </is>
      </c>
      <c r="Q282" s="60" t="n">
        <v>4</v>
      </c>
      <c r="R282" s="60" t="inlineStr">
        <is>
          <t>KITM</t>
        </is>
      </c>
      <c r="S282" s="56" t="n"/>
      <c r="T282" s="12" t="n"/>
      <c r="U282" s="12" t="n"/>
      <c r="V282" s="12" t="n"/>
      <c r="W282" s="91">
        <f>IF(AND(LEN(D634)&gt;=6,OR(LEFT(D634,1)="4",LEFT(D634,1)="5"),K634="9DRWM"),"SDRWM","")</f>
        <v/>
      </c>
      <c r="X282" s="122" t="inlineStr">
        <is>
          <t>5904436</t>
        </is>
      </c>
      <c r="Y282" s="122" t="n"/>
      <c r="Z282" s="122" t="n"/>
    </row>
    <row r="283" hidden="1" ht="12" customFormat="1" customHeight="1" s="46">
      <c r="A283" s="60" t="n"/>
      <c r="B283" s="61" t="inlineStr">
        <is>
          <t>....5</t>
        </is>
      </c>
      <c r="C283" s="61" t="inlineStr">
        <is>
          <t>0070</t>
        </is>
      </c>
      <c r="D283" s="60" t="n">
        <v>571640</v>
      </c>
      <c r="E283" t="n">
        <v>9</v>
      </c>
      <c r="F283" t="n">
        <v>5</v>
      </c>
      <c r="G283" t="inlineStr">
        <is>
          <t>90575901</t>
        </is>
      </c>
      <c r="H283" t="inlineStr">
        <is>
          <t>590575901</t>
        </is>
      </c>
      <c r="I283" t="n">
        <v>590575901</v>
      </c>
      <c r="J283" t="n">
        <v>590575901</v>
      </c>
      <c r="K283" t="n">
        <v>5905759</v>
      </c>
      <c r="L283" s="61" t="inlineStr">
        <is>
          <t>EXIT/ENTRANCE GUIDE</t>
        </is>
      </c>
      <c r="M283" s="61" t="inlineStr">
        <is>
          <t>A  571640  R  B</t>
        </is>
      </c>
      <c r="N283" s="60" t="n">
        <v>1</v>
      </c>
      <c r="O283" s="60" t="n"/>
      <c r="P283" s="60" t="inlineStr">
        <is>
          <t>EA</t>
        </is>
      </c>
      <c r="Q283" s="60" t="n">
        <v>4</v>
      </c>
      <c r="R283" s="60" t="inlineStr">
        <is>
          <t>KITEH</t>
        </is>
      </c>
      <c r="S283" s="56" t="n"/>
      <c r="T283" s="12" t="n"/>
      <c r="U283" s="12" t="n"/>
      <c r="V283" s="12" t="n"/>
      <c r="W283" s="91">
        <f>IF(AND(LEN(D635)&gt;=6,OR(LEFT(D635,1)="4",LEFT(D635,1)="5"),K635="9DRWM"),"SDRWM","")</f>
        <v/>
      </c>
      <c r="X283" s="123" t="n"/>
      <c r="Y283" s="122" t="n"/>
      <c r="Z283" s="122" t="n"/>
    </row>
    <row r="284" hidden="1" ht="12" customFormat="1" customHeight="1" s="46">
      <c r="A284" s="60" t="n"/>
      <c r="B284" s="61" t="inlineStr">
        <is>
          <t>....5</t>
        </is>
      </c>
      <c r="C284" s="61" t="inlineStr">
        <is>
          <t>0080</t>
        </is>
      </c>
      <c r="D284" s="60" t="n">
        <v>59891001</v>
      </c>
      <c r="E284" t="n">
        <v>9</v>
      </c>
      <c r="F284" t="n">
        <v>5</v>
      </c>
      <c r="G284" t="inlineStr">
        <is>
          <t>90575902</t>
        </is>
      </c>
      <c r="H284" t="inlineStr">
        <is>
          <t>590575902</t>
        </is>
      </c>
      <c r="I284" t="n">
        <v>590575902</v>
      </c>
      <c r="J284" t="n">
        <v>590575902</v>
      </c>
      <c r="K284" t="n">
        <v>5905759</v>
      </c>
      <c r="L284" s="61" t="inlineStr">
        <is>
          <t>SUPPORT PIN 24.8</t>
        </is>
      </c>
      <c r="M284" s="61" t="inlineStr">
        <is>
          <t>A 598910XX R</t>
        </is>
      </c>
      <c r="N284" s="60" t="n">
        <v>1</v>
      </c>
      <c r="O284" s="60" t="n"/>
      <c r="P284" s="60" t="inlineStr">
        <is>
          <t>EA</t>
        </is>
      </c>
      <c r="Q284" s="60" t="n">
        <v>4</v>
      </c>
      <c r="R284" s="60" t="inlineStr">
        <is>
          <t>KITEH</t>
        </is>
      </c>
      <c r="S284" s="56" t="n"/>
      <c r="T284" s="12" t="n"/>
      <c r="U284" s="12" t="n"/>
      <c r="V284" s="12" t="n"/>
      <c r="W284" s="91">
        <f>IF(AND(LEN(D636)&gt;=6,OR(LEFT(D636,1)="4",LEFT(D636,1)="5"),K636="9DRWM"),"SDRWM","")</f>
        <v/>
      </c>
      <c r="X284" s="122" t="n"/>
      <c r="Y284" s="122" t="n"/>
      <c r="Z284" s="122" t="n"/>
    </row>
    <row r="285" hidden="1" ht="12" customFormat="1" customHeight="1" s="46">
      <c r="A285" s="60" t="n"/>
      <c r="B285" s="61" t="inlineStr">
        <is>
          <t>...4</t>
        </is>
      </c>
      <c r="C285" s="61" t="inlineStr">
        <is>
          <t>0040</t>
        </is>
      </c>
      <c r="D285" s="60" t="n">
        <v>597855</v>
      </c>
      <c r="E285" t="n">
        <v>9</v>
      </c>
      <c r="F285" t="n">
        <v>5</v>
      </c>
      <c r="G285" t="inlineStr">
        <is>
          <t>90624601</t>
        </is>
      </c>
      <c r="H285" t="inlineStr">
        <is>
          <t>590624601</t>
        </is>
      </c>
      <c r="I285" t="n">
        <v>590624601</v>
      </c>
      <c r="J285" t="n">
        <v>590624601</v>
      </c>
      <c r="K285" t="n">
        <v>5906246</v>
      </c>
      <c r="L285" s="61" t="inlineStr">
        <is>
          <t>SHAFT 25MM DIA,34''</t>
        </is>
      </c>
      <c r="M285" s="61" t="inlineStr">
        <is>
          <t>A 597855   R</t>
        </is>
      </c>
      <c r="N285" s="60" t="n">
        <v>1</v>
      </c>
      <c r="O285" s="60" t="n"/>
      <c r="P285" s="60" t="inlineStr">
        <is>
          <t>EA</t>
        </is>
      </c>
      <c r="Q285" s="60" t="n">
        <v>4</v>
      </c>
      <c r="R285" s="60" t="inlineStr">
        <is>
          <t>KITEH</t>
        </is>
      </c>
      <c r="S285" s="56" t="n"/>
      <c r="T285" s="12" t="n"/>
      <c r="U285" s="12" t="n"/>
      <c r="V285" s="12" t="n"/>
      <c r="W285" s="91">
        <f>IF(AND(LEN(D643)&gt;=6,OR(LEFT(D643,1)="4",LEFT(D643,1)="5"),K643="9DRWM"),"SDRWM","")</f>
        <v/>
      </c>
      <c r="X285" s="123" t="n"/>
      <c r="Y285" s="122" t="n"/>
      <c r="Z285" s="122" t="n"/>
    </row>
    <row r="286" hidden="1" ht="12" customFormat="1" customHeight="1" s="46">
      <c r="A286" s="60" t="n"/>
      <c r="B286" s="61" t="inlineStr">
        <is>
          <t>...4</t>
        </is>
      </c>
      <c r="C286" s="61" t="inlineStr">
        <is>
          <t>0050</t>
        </is>
      </c>
      <c r="D286" s="60" t="n">
        <v>5904195</v>
      </c>
      <c r="E286" t="n">
        <v>9</v>
      </c>
      <c r="F286" t="n">
        <v>5</v>
      </c>
      <c r="G286" t="inlineStr">
        <is>
          <t>90624701</t>
        </is>
      </c>
      <c r="H286" t="inlineStr">
        <is>
          <t>590624701</t>
        </is>
      </c>
      <c r="I286" t="n">
        <v>590624701</v>
      </c>
      <c r="J286" t="n">
        <v>590624701</v>
      </c>
      <c r="K286" t="n">
        <v>5906247</v>
      </c>
      <c r="L286" s="61" t="inlineStr">
        <is>
          <t>LEAD SCREW,EHC,TR20X2</t>
        </is>
      </c>
      <c r="M286" s="61" t="inlineStr">
        <is>
          <t>B 5904195  R</t>
        </is>
      </c>
      <c r="N286" s="60" t="n">
        <v>1</v>
      </c>
      <c r="O286" s="60" t="n"/>
      <c r="P286" s="60" t="inlineStr">
        <is>
          <t>EA</t>
        </is>
      </c>
      <c r="Q286" s="60" t="n">
        <v>4</v>
      </c>
      <c r="R286" s="60" t="inlineStr">
        <is>
          <t>LTRNM</t>
        </is>
      </c>
      <c r="S286" s="56" t="n"/>
      <c r="T286" s="12" t="n"/>
      <c r="U286" s="12" t="n"/>
      <c r="V286" s="12" t="n"/>
      <c r="W286" s="91">
        <f>IF(AND(LEN(D644)&gt;=6,OR(LEFT(D644,1)="4",LEFT(D644,1)="5"),K644="9DRWM"),"SDRWM","")</f>
        <v/>
      </c>
      <c r="X286" s="122" t="n"/>
      <c r="Y286" s="122" t="n"/>
      <c r="Z286" s="122" t="n"/>
    </row>
    <row r="287" hidden="1" ht="12" customFormat="1" customHeight="1" s="46">
      <c r="A287" s="60" t="n"/>
      <c r="B287" s="61" t="inlineStr">
        <is>
          <t>...4</t>
        </is>
      </c>
      <c r="C287" s="61" t="inlineStr">
        <is>
          <t>0060</t>
        </is>
      </c>
      <c r="D287" s="60" t="n">
        <v>5904207</v>
      </c>
      <c r="L287" s="61" t="inlineStr">
        <is>
          <t>SPROCKET,35B12T,DIA 16</t>
        </is>
      </c>
      <c r="M287" s="61" t="inlineStr">
        <is>
          <t>A 5904207  R</t>
        </is>
      </c>
      <c r="N287" s="60" t="n">
        <v>1</v>
      </c>
      <c r="O287" s="60" t="n"/>
      <c r="P287" s="60" t="inlineStr">
        <is>
          <t>EA</t>
        </is>
      </c>
      <c r="Q287" s="60" t="n">
        <v>4</v>
      </c>
      <c r="R287" s="60" t="inlineStr">
        <is>
          <t>KITEH</t>
        </is>
      </c>
      <c r="S287" s="56" t="n"/>
      <c r="T287" s="12" t="n"/>
      <c r="U287" s="12" t="n"/>
      <c r="V287" s="12" t="n"/>
      <c r="W287" s="91">
        <f>IF(AND(LEN(D645)&gt;=6,OR(LEFT(D645,1)="4",LEFT(D645,1)="5"),K645="9DRWM"),"SDRWM","")</f>
        <v/>
      </c>
    </row>
    <row r="288" hidden="1" ht="12" customFormat="1" customHeight="1" s="46">
      <c r="A288" s="60" t="n"/>
      <c r="B288" s="61" t="inlineStr">
        <is>
          <t>...4</t>
        </is>
      </c>
      <c r="C288" s="61" t="inlineStr">
        <is>
          <t>0070</t>
        </is>
      </c>
      <c r="D288" s="60" t="n">
        <v>5904206</v>
      </c>
      <c r="E288" t="n">
        <v>9</v>
      </c>
      <c r="F288" t="n">
        <v>5</v>
      </c>
      <c r="G288" t="inlineStr">
        <is>
          <t>90626602</t>
        </is>
      </c>
      <c r="H288" t="inlineStr">
        <is>
          <t>590626602</t>
        </is>
      </c>
      <c r="I288" t="n">
        <v>590626602</v>
      </c>
      <c r="J288" t="n">
        <v>590626602</v>
      </c>
      <c r="K288" t="n">
        <v>5906266</v>
      </c>
      <c r="L288" s="61" t="inlineStr">
        <is>
          <t>SPROCKET,25B22T, DIA 16MM</t>
        </is>
      </c>
      <c r="M288" s="61" t="inlineStr">
        <is>
          <t>A 5904206  R</t>
        </is>
      </c>
      <c r="N288" s="60" t="n">
        <v>1</v>
      </c>
      <c r="O288" s="60" t="n"/>
      <c r="P288" s="60" t="inlineStr">
        <is>
          <t>EA</t>
        </is>
      </c>
      <c r="Q288" s="60" t="n">
        <v>4</v>
      </c>
      <c r="R288" s="60" t="inlineStr">
        <is>
          <t>KITEH</t>
        </is>
      </c>
      <c r="S288" s="56" t="n"/>
      <c r="T288" s="12" t="n"/>
      <c r="U288" s="12" t="n"/>
      <c r="V288" s="12" t="n"/>
      <c r="W288" s="91">
        <f>IF(AND(LEN(D646)&gt;=6,OR(LEFT(D646,1)="4",LEFT(D646,1)="5"),K646="9DRWM"),"SDRWM","")</f>
        <v/>
      </c>
      <c r="X288" s="122" t="n"/>
      <c r="Y288" s="122" t="n"/>
      <c r="Z288" s="122" t="n"/>
    </row>
    <row r="289" hidden="1" ht="12" customFormat="1" customHeight="1" s="46">
      <c r="A289" s="60" t="n"/>
      <c r="B289" s="61" t="inlineStr">
        <is>
          <t>...4</t>
        </is>
      </c>
      <c r="C289" s="61" t="inlineStr">
        <is>
          <t>0080</t>
        </is>
      </c>
      <c r="D289" s="60" t="n">
        <v>593448</v>
      </c>
      <c r="E289" t="n">
        <v>9</v>
      </c>
      <c r="F289" t="n">
        <v>5</v>
      </c>
      <c r="G289" t="inlineStr">
        <is>
          <t>90627001</t>
        </is>
      </c>
      <c r="H289" t="inlineStr">
        <is>
          <t>590627001</t>
        </is>
      </c>
      <c r="I289" t="n">
        <v>590627001</v>
      </c>
      <c r="J289" t="n">
        <v>590627001</v>
      </c>
      <c r="K289" t="n">
        <v>5906270</v>
      </c>
      <c r="L289" s="61" t="inlineStr">
        <is>
          <t>CLAMP COLLAR AS, 25MM ID</t>
        </is>
      </c>
      <c r="M289" s="61" t="inlineStr">
        <is>
          <t>A 593448   **</t>
        </is>
      </c>
      <c r="N289" s="60" t="n">
        <v>2</v>
      </c>
      <c r="O289" s="60" t="n"/>
      <c r="P289" s="60" t="inlineStr">
        <is>
          <t>EA</t>
        </is>
      </c>
      <c r="Q289" s="60" t="n">
        <v>9</v>
      </c>
      <c r="R289" s="60" t="inlineStr">
        <is>
          <t>KITEH</t>
        </is>
      </c>
      <c r="S289" s="56" t="inlineStr">
        <is>
          <t>9DRWMEH TO KITEH</t>
        </is>
      </c>
      <c r="T289" s="12" t="n"/>
      <c r="U289" s="12" t="n"/>
      <c r="V289" s="12" t="n"/>
      <c r="W289" s="91">
        <f>IF(AND(LEN(D647)&gt;=6,OR(LEFT(D647,1)="4",LEFT(D647,1)="5"),K647="9DRWM"),"SDRWM","")</f>
        <v/>
      </c>
      <c r="X289" s="122" t="n"/>
      <c r="Y289" s="122" t="n"/>
      <c r="Z289" s="122" t="n"/>
    </row>
    <row r="290" hidden="1" ht="12" customFormat="1" customHeight="1" s="46">
      <c r="A290" s="60" t="n"/>
      <c r="B290" s="61" t="inlineStr">
        <is>
          <t>....5</t>
        </is>
      </c>
      <c r="C290" s="61" t="inlineStr">
        <is>
          <t>0010</t>
        </is>
      </c>
      <c r="D290" s="60" t="n">
        <v>593449</v>
      </c>
      <c r="L290" s="61" t="inlineStr">
        <is>
          <t>CLAMP COLLAR, 25MM ID</t>
        </is>
      </c>
      <c r="M290" s="61" t="inlineStr">
        <is>
          <t>A 593449   R 01</t>
        </is>
      </c>
      <c r="N290" s="60" t="n">
        <v>2</v>
      </c>
      <c r="O290" s="60" t="n"/>
      <c r="P290" s="60" t="inlineStr">
        <is>
          <t>EA</t>
        </is>
      </c>
      <c r="Q290" s="60" t="n">
        <v>4</v>
      </c>
      <c r="R290" s="60" t="inlineStr">
        <is>
          <t>KITEH</t>
        </is>
      </c>
      <c r="S290" s="56" t="n"/>
      <c r="T290" s="12" t="n"/>
      <c r="U290" s="12" t="n"/>
      <c r="V290" s="12" t="n"/>
      <c r="W290" s="91">
        <f>IF(AND(LEN(D648)&gt;=6,OR(LEFT(D648,1)="4",LEFT(D648,1)="5"),K648="9DRWM"),"SDRWM","")</f>
        <v/>
      </c>
    </row>
    <row r="291" hidden="1" ht="12" customFormat="1" customHeight="1" s="46">
      <c r="A291" s="60" t="n"/>
      <c r="B291" s="61" t="inlineStr">
        <is>
          <t>..3</t>
        </is>
      </c>
      <c r="C291" s="61" t="inlineStr">
        <is>
          <t>0020</t>
        </is>
      </c>
      <c r="D291" s="60" t="n">
        <v>590418201</v>
      </c>
      <c r="L291" s="61" t="inlineStr">
        <is>
          <t>EXIT EHC ASSY,LR FRF,MK7,30IN</t>
        </is>
      </c>
      <c r="M291" s="61" t="inlineStr">
        <is>
          <t>D 5904182XXR  A</t>
        </is>
      </c>
      <c r="N291" s="60" t="n">
        <v>1</v>
      </c>
      <c r="O291" s="60" t="n"/>
      <c r="P291" s="60" t="inlineStr">
        <is>
          <t>EA</t>
        </is>
      </c>
      <c r="Q291" s="60" t="n">
        <v>0</v>
      </c>
      <c r="R291" s="60" t="n"/>
      <c r="S291" s="56" t="inlineStr">
        <is>
          <t>9DRWMEH TO BLANK</t>
        </is>
      </c>
      <c r="T291" s="12" t="n"/>
      <c r="U291" s="12" t="n"/>
      <c r="V291" s="12" t="n"/>
      <c r="W291" s="91">
        <f>IF(AND(LEN(D658)&gt;=6,OR(LEFT(D658,1)="4",LEFT(D658,1)="5"),K658="9DRWM"),"SDRWM","")</f>
        <v/>
      </c>
      <c r="X291" s="54" t="n"/>
    </row>
    <row r="292" hidden="1" ht="12" customFormat="1" customHeight="1" s="46">
      <c r="A292" s="60" t="n"/>
      <c r="B292" s="61" t="inlineStr">
        <is>
          <t>...4</t>
        </is>
      </c>
      <c r="C292" s="61" t="inlineStr">
        <is>
          <t>0010</t>
        </is>
      </c>
      <c r="D292" s="60" t="n">
        <v>590419101</v>
      </c>
      <c r="E292" t="n">
        <v>9</v>
      </c>
      <c r="F292" t="n">
        <v>5</v>
      </c>
      <c r="G292" t="inlineStr">
        <is>
          <t>90627802</t>
        </is>
      </c>
      <c r="H292" t="inlineStr">
        <is>
          <t>590627802</t>
        </is>
      </c>
      <c r="I292" t="n">
        <v>590627802</v>
      </c>
      <c r="J292" t="n">
        <v>590627802</v>
      </c>
      <c r="K292" t="n">
        <v>5906278</v>
      </c>
      <c r="L292" s="61" t="inlineStr">
        <is>
          <t>END PLATE ASSY,EHC,SNG</t>
        </is>
      </c>
      <c r="M292" s="61" t="inlineStr">
        <is>
          <t>B 5904191XXR</t>
        </is>
      </c>
      <c r="N292" s="60" t="n">
        <v>2</v>
      </c>
      <c r="O292" s="60" t="n"/>
      <c r="P292" s="60" t="inlineStr">
        <is>
          <t>EA</t>
        </is>
      </c>
      <c r="Q292" s="60" t="n">
        <v>0</v>
      </c>
      <c r="R292" s="60" t="n"/>
      <c r="S292" s="56" t="inlineStr">
        <is>
          <t>9DRWMEH TO BLANK</t>
        </is>
      </c>
      <c r="T292" s="12" t="n"/>
      <c r="U292" s="12" t="n"/>
      <c r="V292" s="12" t="n"/>
      <c r="W292" s="91">
        <f>IF(AND(LEN(D659)&gt;=6,OR(LEFT(D659,1)="4",LEFT(D659,1)="5"),K659="9DRWM"),"SDRWM","")</f>
        <v/>
      </c>
      <c r="X292" s="124" t="n"/>
      <c r="Y292" s="122" t="n"/>
      <c r="Z292" s="122" t="n"/>
    </row>
    <row r="293" hidden="1" ht="12" customFormat="1" customHeight="1" s="10">
      <c r="A293" s="60" t="n"/>
      <c r="B293" s="61" t="inlineStr">
        <is>
          <t>....5</t>
        </is>
      </c>
      <c r="C293" s="61" t="inlineStr">
        <is>
          <t>0010</t>
        </is>
      </c>
      <c r="D293" s="60" t="n">
        <v>5904190</v>
      </c>
      <c r="L293" s="61" t="inlineStr">
        <is>
          <t>EHC END PLATE DETAIL,MK7</t>
        </is>
      </c>
      <c r="M293" s="61" t="inlineStr">
        <is>
          <t>C 5904190  R  A</t>
        </is>
      </c>
      <c r="N293" s="60" t="n">
        <v>2</v>
      </c>
      <c r="O293" s="60" t="n"/>
      <c r="P293" s="60" t="inlineStr">
        <is>
          <t>EA</t>
        </is>
      </c>
      <c r="Q293" s="60" t="n">
        <v>4</v>
      </c>
      <c r="R293" s="60" t="inlineStr">
        <is>
          <t>KITEH</t>
        </is>
      </c>
      <c r="S293" s="56" t="n"/>
      <c r="T293" s="12" t="n"/>
      <c r="U293" s="12" t="n"/>
      <c r="V293" s="12" t="n"/>
      <c r="W293" s="91">
        <f>IF(AND(LEN(D660)&gt;=6,OR(LEFT(D660,1)="4",LEFT(D660,1)="5"),K660="9DRWM"),"SDRWM","")</f>
        <v/>
      </c>
      <c r="X293" s="54" t="n"/>
    </row>
    <row r="294" hidden="1" ht="12" customFormat="1" customHeight="1" s="46">
      <c r="A294" s="60" t="n"/>
      <c r="B294" s="61" t="inlineStr">
        <is>
          <t>...4</t>
        </is>
      </c>
      <c r="C294" s="61" t="inlineStr">
        <is>
          <t>0020</t>
        </is>
      </c>
      <c r="D294" s="60" t="n">
        <v>590418805</v>
      </c>
      <c r="L294" s="61" t="inlineStr">
        <is>
          <t>EXIT MOVE PLATE ASY,SNG SP,MK7</t>
        </is>
      </c>
      <c r="M294" s="61" t="inlineStr">
        <is>
          <t>C 5904188XXR</t>
        </is>
      </c>
      <c r="N294" s="60" t="n">
        <v>1</v>
      </c>
      <c r="O294" s="60" t="n"/>
      <c r="P294" s="60" t="inlineStr">
        <is>
          <t>EA</t>
        </is>
      </c>
      <c r="Q294" s="60" t="n">
        <v>0</v>
      </c>
      <c r="R294" s="60" t="n"/>
      <c r="S294" s="56" t="inlineStr">
        <is>
          <t>9DRWMEH TO BLANK</t>
        </is>
      </c>
      <c r="T294" s="12" t="n"/>
      <c r="U294" s="12" t="n"/>
      <c r="V294" s="12" t="n"/>
      <c r="W294" s="91">
        <f>IF(AND(LEN(D662)&gt;=6,OR(LEFT(D662,1)="4",LEFT(D662,1)="5"),K662="9DRWM"),"SDRWM","")</f>
        <v/>
      </c>
      <c r="X294" s="54" t="n"/>
    </row>
    <row r="295" hidden="1" ht="12" customFormat="1" customHeight="1" s="46">
      <c r="A295" s="60" t="n"/>
      <c r="B295" s="61" t="inlineStr">
        <is>
          <t>....5</t>
        </is>
      </c>
      <c r="C295" s="61" t="inlineStr">
        <is>
          <t>0010</t>
        </is>
      </c>
      <c r="D295" s="60" t="n">
        <v>590418904</v>
      </c>
      <c r="E295" t="n">
        <v>9</v>
      </c>
      <c r="F295" t="n">
        <v>5</v>
      </c>
      <c r="G295" t="inlineStr">
        <is>
          <t>90627902</t>
        </is>
      </c>
      <c r="H295" t="inlineStr">
        <is>
          <t>590627902</t>
        </is>
      </c>
      <c r="I295" t="n">
        <v>590627902</v>
      </c>
      <c r="J295" t="n">
        <v>590627902</v>
      </c>
      <c r="K295" t="n">
        <v>5906279</v>
      </c>
      <c r="L295" s="61" t="inlineStr">
        <is>
          <t>EXIT MOVABLE PLATE ASY,SNG SP</t>
        </is>
      </c>
      <c r="M295" s="61" t="inlineStr">
        <is>
          <t>C 5904189XXR</t>
        </is>
      </c>
      <c r="N295" s="60" t="n">
        <v>1</v>
      </c>
      <c r="O295" s="60" t="n"/>
      <c r="P295" s="60" t="inlineStr">
        <is>
          <t>EA</t>
        </is>
      </c>
      <c r="Q295" s="60" t="n">
        <v>0</v>
      </c>
      <c r="R295" s="60" t="n"/>
      <c r="S295" s="56" t="inlineStr">
        <is>
          <t>9DRWMEH TO BLANK</t>
        </is>
      </c>
      <c r="T295" s="12" t="n"/>
      <c r="U295" s="12" t="n"/>
      <c r="V295" s="12" t="n"/>
      <c r="W295" s="91">
        <f>IF(AND(LEN(D663)&gt;=6,OR(LEFT(D663,1)="4",LEFT(D663,1)="5"),K663="9DRWM"),"SDRWM","")</f>
        <v/>
      </c>
      <c r="X295" s="124" t="n"/>
      <c r="Y295" s="122" t="n"/>
      <c r="Z295" s="122" t="n"/>
    </row>
    <row r="296" hidden="1" ht="12" customFormat="1" customHeight="1" s="46">
      <c r="A296" s="60" t="n"/>
      <c r="B296" s="61" t="inlineStr">
        <is>
          <t>.....6</t>
        </is>
      </c>
      <c r="C296" s="61" t="inlineStr">
        <is>
          <t>0010</t>
        </is>
      </c>
      <c r="D296" s="60" t="n">
        <v>59889101</v>
      </c>
      <c r="E296" t="n">
        <v>9</v>
      </c>
      <c r="F296" t="n">
        <v>5</v>
      </c>
      <c r="G296" t="inlineStr">
        <is>
          <t>90628002</t>
        </is>
      </c>
      <c r="H296" t="inlineStr">
        <is>
          <t>590628002</t>
        </is>
      </c>
      <c r="I296" t="n">
        <v>590628002</v>
      </c>
      <c r="J296" t="n">
        <v>590628002</v>
      </c>
      <c r="K296" t="n">
        <v>5906280</v>
      </c>
      <c r="L296" s="61" t="inlineStr">
        <is>
          <t>DUAL EHC PLATE DETAIL,MOVE,MK7</t>
        </is>
      </c>
      <c r="M296" s="61" t="inlineStr">
        <is>
          <t>C 598891XX R  D</t>
        </is>
      </c>
      <c r="N296" s="60" t="n">
        <v>1</v>
      </c>
      <c r="O296" s="60" t="n"/>
      <c r="P296" s="60" t="inlineStr">
        <is>
          <t>EA</t>
        </is>
      </c>
      <c r="Q296" s="60" t="n">
        <v>4</v>
      </c>
      <c r="R296" s="60" t="inlineStr">
        <is>
          <t>KITEH</t>
        </is>
      </c>
      <c r="S296" s="56" t="n"/>
      <c r="T296" s="12" t="n"/>
      <c r="U296" s="12" t="n"/>
      <c r="V296" s="12" t="n"/>
      <c r="W296" s="91">
        <f>IF(AND(LEN(D664)&gt;=6,OR(LEFT(D664,1)="4",LEFT(D664,1)="5"),K664="9DRWM"),"SDRWM","")</f>
        <v/>
      </c>
      <c r="X296" s="122" t="n"/>
      <c r="Y296" s="122" t="n"/>
      <c r="Z296" s="122" t="n"/>
    </row>
    <row r="297" hidden="1" ht="12" customFormat="1" customHeight="1" s="46">
      <c r="A297" s="60" t="n"/>
      <c r="B297" s="61" t="inlineStr">
        <is>
          <t>.....6</t>
        </is>
      </c>
      <c r="C297" s="61" t="inlineStr">
        <is>
          <t>0020</t>
        </is>
      </c>
      <c r="D297" s="60" t="n">
        <v>5904196</v>
      </c>
      <c r="E297" t="n">
        <v>9</v>
      </c>
      <c r="F297" t="n">
        <v>5</v>
      </c>
      <c r="G297" t="inlineStr">
        <is>
          <t>90628101</t>
        </is>
      </c>
      <c r="H297" t="inlineStr">
        <is>
          <t>590628101</t>
        </is>
      </c>
      <c r="I297" t="n">
        <v>590628101</v>
      </c>
      <c r="J297" t="n">
        <v>590628101</v>
      </c>
      <c r="K297" t="n">
        <v>5906281</v>
      </c>
      <c r="L297" s="61" t="inlineStr">
        <is>
          <t>BRONZE NUT,TR20 SCREW,MK7</t>
        </is>
      </c>
      <c r="M297" s="61" t="inlineStr">
        <is>
          <t>A 5904196  R</t>
        </is>
      </c>
      <c r="N297" s="60" t="n">
        <v>1</v>
      </c>
      <c r="O297" s="60" t="n"/>
      <c r="P297" s="60" t="inlineStr">
        <is>
          <t>EA</t>
        </is>
      </c>
      <c r="Q297" s="60" t="n">
        <v>4</v>
      </c>
      <c r="R297" s="60" t="inlineStr">
        <is>
          <t>LTRNM</t>
        </is>
      </c>
      <c r="S297" s="56" t="n"/>
      <c r="T297" s="12" t="n"/>
      <c r="U297" s="12" t="n"/>
      <c r="V297" s="12" t="n"/>
      <c r="W297" s="91">
        <f>IF(AND(LEN(D665)&gt;=6,OR(LEFT(D665,1)="4",LEFT(D665,1)="5"),K665="9DRWM"),"SDRWM","")</f>
        <v/>
      </c>
      <c r="X297" s="124" t="n"/>
      <c r="Y297" s="122" t="n"/>
      <c r="Z297" s="122" t="n"/>
    </row>
    <row r="298" hidden="1" ht="12" customFormat="1" customHeight="1" s="46">
      <c r="A298" s="60" t="n"/>
      <c r="B298" s="61" t="inlineStr">
        <is>
          <t>....5</t>
        </is>
      </c>
      <c r="C298" s="61" t="inlineStr">
        <is>
          <t>0020</t>
        </is>
      </c>
      <c r="D298" s="60" t="n">
        <v>594823</v>
      </c>
      <c r="E298" t="n">
        <v>9</v>
      </c>
      <c r="F298" t="n">
        <v>5</v>
      </c>
      <c r="G298" t="inlineStr">
        <is>
          <t>90633201</t>
        </is>
      </c>
      <c r="H298" t="inlineStr">
        <is>
          <t>590633201</t>
        </is>
      </c>
      <c r="I298" t="n">
        <v>590633201</v>
      </c>
      <c r="J298" t="n">
        <v>590633201</v>
      </c>
      <c r="K298" t="n">
        <v>5906332</v>
      </c>
      <c r="L298" s="61" t="inlineStr">
        <is>
          <t>IDLER ROLLER ASSY</t>
        </is>
      </c>
      <c r="M298" s="61" t="inlineStr">
        <is>
          <t>A 594823   ** A</t>
        </is>
      </c>
      <c r="N298" s="60" t="n">
        <v>1</v>
      </c>
      <c r="O298" s="60" t="n"/>
      <c r="P298" s="60" t="inlineStr">
        <is>
          <t>EA</t>
        </is>
      </c>
      <c r="Q298" s="60" t="n">
        <v>9</v>
      </c>
      <c r="R298" s="60" t="inlineStr">
        <is>
          <t>KITEH</t>
        </is>
      </c>
      <c r="S298" s="56" t="inlineStr">
        <is>
          <t>9DRWMEH TO KITEH</t>
        </is>
      </c>
      <c r="T298" s="12" t="n"/>
      <c r="U298" s="12" t="n"/>
      <c r="V298" s="12" t="n"/>
      <c r="W298" s="91">
        <f>IF(AND(LEN(D668)&gt;=6,OR(LEFT(D668,1)="4",LEFT(D668,1)="5"),K668="9DRWM"),"SDRWM","")</f>
        <v/>
      </c>
      <c r="X298" s="124" t="n"/>
      <c r="Y298" s="122" t="n"/>
      <c r="Z298" s="122" t="n"/>
    </row>
    <row r="299" hidden="1" ht="12" customFormat="1" customHeight="1" s="46">
      <c r="A299" s="60" t="n"/>
      <c r="B299" s="61" t="inlineStr">
        <is>
          <t>.....6</t>
        </is>
      </c>
      <c r="C299" s="61" t="inlineStr">
        <is>
          <t>0010</t>
        </is>
      </c>
      <c r="D299" s="60" t="n">
        <v>595443</v>
      </c>
      <c r="E299" t="n">
        <v>9</v>
      </c>
      <c r="F299" t="n">
        <v>5</v>
      </c>
      <c r="G299" t="inlineStr">
        <is>
          <t>90633202</t>
        </is>
      </c>
      <c r="H299" t="inlineStr">
        <is>
          <t>590633202</t>
        </is>
      </c>
      <c r="I299" t="n">
        <v>590633202</v>
      </c>
      <c r="J299" t="n">
        <v>590633202</v>
      </c>
      <c r="K299" t="n">
        <v>5906332</v>
      </c>
      <c r="L299" s="61" t="inlineStr">
        <is>
          <t>IDLE ROLLER IGUS ASSY</t>
        </is>
      </c>
      <c r="M299" s="61" t="inlineStr">
        <is>
          <t>A 595443   **</t>
        </is>
      </c>
      <c r="N299" s="60" t="n">
        <v>1</v>
      </c>
      <c r="O299" s="60" t="n"/>
      <c r="P299" s="60" t="inlineStr">
        <is>
          <t>EA</t>
        </is>
      </c>
      <c r="Q299" s="60" t="n">
        <v>9</v>
      </c>
      <c r="R299" s="60" t="inlineStr">
        <is>
          <t>KITEH</t>
        </is>
      </c>
      <c r="S299" s="56" t="n"/>
      <c r="T299" s="12" t="n"/>
      <c r="U299" s="12" t="n"/>
      <c r="V299" s="12" t="n"/>
      <c r="W299" s="91">
        <f>IF(AND(LEN(D669)&gt;=6,OR(LEFT(D669,1)="4",LEFT(D669,1)="5"),K669="9DRWM"),"SDRWM","")</f>
        <v/>
      </c>
      <c r="X299" s="124" t="n"/>
      <c r="Y299" s="122" t="n"/>
      <c r="Z299" s="122" t="n"/>
    </row>
    <row r="300" hidden="1" ht="12" customFormat="1" customHeight="1" s="46">
      <c r="A300" s="60" t="n"/>
      <c r="B300" s="61" t="inlineStr">
        <is>
          <t>......7</t>
        </is>
      </c>
      <c r="C300" s="61" t="inlineStr">
        <is>
          <t>0010</t>
        </is>
      </c>
      <c r="D300" s="60" t="n">
        <v>595444</v>
      </c>
      <c r="E300" t="n">
        <v>9</v>
      </c>
      <c r="F300" t="n">
        <v>5</v>
      </c>
      <c r="G300" t="inlineStr">
        <is>
          <t>90633203</t>
        </is>
      </c>
      <c r="H300" t="inlineStr">
        <is>
          <t>590633203</t>
        </is>
      </c>
      <c r="I300" t="n">
        <v>590633203</v>
      </c>
      <c r="J300" t="n">
        <v>590633203</v>
      </c>
      <c r="K300" t="n">
        <v>5906332</v>
      </c>
      <c r="L300" s="61" t="inlineStr">
        <is>
          <t>IDLER ROLLER OD31.5</t>
        </is>
      </c>
      <c r="M300" s="61" t="inlineStr">
        <is>
          <t>B 595444   R  A</t>
        </is>
      </c>
      <c r="N300" s="60" t="n">
        <v>1</v>
      </c>
      <c r="O300" s="60" t="n"/>
      <c r="P300" s="60" t="inlineStr">
        <is>
          <t>EA</t>
        </is>
      </c>
      <c r="Q300" s="60" t="n">
        <v>4</v>
      </c>
      <c r="R300" s="60" t="inlineStr">
        <is>
          <t>KITEH</t>
        </is>
      </c>
      <c r="S300" s="56" t="n"/>
      <c r="T300" s="12" t="n"/>
      <c r="U300" s="12" t="n"/>
      <c r="V300" s="12" t="n"/>
      <c r="W300" s="91">
        <f>IF(AND(LEN(D670)&gt;=6,OR(LEFT(D670,1)="4",LEFT(D670,1)="5"),K670="9DRWM"),"SDRWM","")</f>
        <v/>
      </c>
      <c r="X300" s="124" t="n"/>
      <c r="Y300" s="122" t="n"/>
      <c r="Z300" s="122" t="n"/>
    </row>
    <row r="301" hidden="1" ht="12" customFormat="1" customHeight="1" s="46">
      <c r="A301" s="60" t="n"/>
      <c r="B301" s="61" t="inlineStr">
        <is>
          <t>.....6</t>
        </is>
      </c>
      <c r="C301" s="61" t="inlineStr">
        <is>
          <t>0020</t>
        </is>
      </c>
      <c r="D301" s="60" t="n">
        <v>597865</v>
      </c>
      <c r="E301" t="n">
        <v>9</v>
      </c>
      <c r="F301" t="n">
        <v>5</v>
      </c>
      <c r="G301" t="inlineStr">
        <is>
          <t>90633501</t>
        </is>
      </c>
      <c r="H301" t="inlineStr">
        <is>
          <t>590633501</t>
        </is>
      </c>
      <c r="I301" t="n">
        <v>590633501</v>
      </c>
      <c r="J301" t="n">
        <v>590633501</v>
      </c>
      <c r="K301" t="n">
        <v>5906335</v>
      </c>
      <c r="L301" s="61" t="inlineStr">
        <is>
          <t>12 DIA X 20 HEX HD SHLDR SCR</t>
        </is>
      </c>
      <c r="M301" s="61" t="inlineStr">
        <is>
          <t>A 597865   R  A</t>
        </is>
      </c>
      <c r="N301" s="60" t="n">
        <v>1</v>
      </c>
      <c r="O301" s="60" t="n"/>
      <c r="P301" s="60" t="inlineStr">
        <is>
          <t>EA</t>
        </is>
      </c>
      <c r="Q301" s="60" t="n">
        <v>4</v>
      </c>
      <c r="R301" s="60" t="inlineStr">
        <is>
          <t>KITEH</t>
        </is>
      </c>
      <c r="S301" s="56" t="n"/>
      <c r="T301" s="12" t="n"/>
      <c r="U301" s="12" t="n"/>
      <c r="V301" s="12" t="n"/>
      <c r="W301" s="91">
        <f>IF(AND(LEN(D672)&gt;=6,OR(LEFT(D672,1)="4",LEFT(D672,1)="5"),K672="9DRWM"),"SDRWM","")</f>
        <v/>
      </c>
      <c r="X301" s="124" t="n"/>
      <c r="Y301" s="122" t="n"/>
      <c r="Z301" s="122" t="n"/>
    </row>
    <row r="302" hidden="1" ht="12" customFormat="1" customHeight="1" s="46">
      <c r="A302" s="60" t="n"/>
      <c r="B302" s="61" t="inlineStr">
        <is>
          <t>....5</t>
        </is>
      </c>
      <c r="C302" s="61" t="inlineStr">
        <is>
          <t>0030</t>
        </is>
      </c>
      <c r="D302" s="60" t="n">
        <v>598899</v>
      </c>
      <c r="E302" t="n">
        <v>9</v>
      </c>
      <c r="F302" t="n">
        <v>5</v>
      </c>
      <c r="G302" t="inlineStr">
        <is>
          <t>90633502</t>
        </is>
      </c>
      <c r="H302" t="inlineStr">
        <is>
          <t>590633502</t>
        </is>
      </c>
      <c r="I302" t="n">
        <v>590633502</v>
      </c>
      <c r="J302" t="n">
        <v>590633502</v>
      </c>
      <c r="K302" t="n">
        <v>5906335</v>
      </c>
      <c r="L302" s="61" t="inlineStr">
        <is>
          <t>KEY (FOR LINEAR BEARING),MK7</t>
        </is>
      </c>
      <c r="M302" s="61" t="inlineStr">
        <is>
          <t>A 598899   R</t>
        </is>
      </c>
      <c r="N302" s="60" t="n">
        <v>1</v>
      </c>
      <c r="O302" s="60" t="n"/>
      <c r="P302" s="60" t="inlineStr">
        <is>
          <t>EA</t>
        </is>
      </c>
      <c r="Q302" s="60" t="n">
        <v>4</v>
      </c>
      <c r="R302" s="60" t="inlineStr">
        <is>
          <t>KITEH</t>
        </is>
      </c>
      <c r="S302" s="56" t="n"/>
      <c r="T302" s="12" t="n"/>
      <c r="U302" s="12" t="n"/>
      <c r="V302" s="12" t="n"/>
      <c r="W302" s="91">
        <f>IF(AND(LEN(D673)&gt;=6,OR(LEFT(D673,1)="4",LEFT(D673,1)="5"),K673="9DRWM"),"SDRWM","")</f>
        <v/>
      </c>
      <c r="X302" s="124" t="n"/>
      <c r="Y302" s="122" t="n"/>
      <c r="Z302" s="122" t="n"/>
    </row>
    <row r="303" hidden="1" ht="12" customFormat="1" customHeight="1" s="46">
      <c r="A303" s="60" t="n"/>
      <c r="B303" s="61" t="inlineStr">
        <is>
          <t>....5</t>
        </is>
      </c>
      <c r="C303" s="61" t="inlineStr">
        <is>
          <t>0040</t>
        </is>
      </c>
      <c r="D303" s="60" t="n">
        <v>598906</v>
      </c>
      <c r="L303" s="61" t="inlineStr">
        <is>
          <t>EHC DRIVE SPROCKET ASSY. (16T)</t>
        </is>
      </c>
      <c r="M303" s="61" t="inlineStr">
        <is>
          <t>B 598906   R</t>
        </is>
      </c>
      <c r="N303" s="60" t="n">
        <v>1</v>
      </c>
      <c r="O303" s="60" t="n"/>
      <c r="P303" s="60" t="inlineStr">
        <is>
          <t>EA</t>
        </is>
      </c>
      <c r="Q303" s="60" t="n">
        <v>9</v>
      </c>
      <c r="R303" s="60" t="inlineStr">
        <is>
          <t>KITEH</t>
        </is>
      </c>
      <c r="S303" s="56" t="inlineStr">
        <is>
          <t>9DRWMEH TO KITEH</t>
        </is>
      </c>
      <c r="T303" s="12" t="n"/>
      <c r="U303" s="12" t="n"/>
      <c r="V303" s="12" t="n"/>
      <c r="W303" s="91">
        <f>IF(AND(LEN(D674)&gt;=6,OR(LEFT(D674,1)="4",LEFT(D674,1)="5"),K674="9DRWM"),"SDRWM","")</f>
        <v/>
      </c>
      <c r="X303" s="54" t="n"/>
    </row>
    <row r="304" hidden="1" ht="12" customFormat="1" customHeight="1" s="46">
      <c r="A304" s="60" t="n"/>
      <c r="B304" s="61" t="inlineStr">
        <is>
          <t>.....6</t>
        </is>
      </c>
      <c r="C304" s="61" t="inlineStr">
        <is>
          <t>0010</t>
        </is>
      </c>
      <c r="D304" s="60" t="n">
        <v>598907</v>
      </c>
      <c r="E304" t="n">
        <v>9</v>
      </c>
      <c r="F304" t="n">
        <v>5</v>
      </c>
      <c r="G304" t="inlineStr">
        <is>
          <t>90637601</t>
        </is>
      </c>
      <c r="H304" t="inlineStr">
        <is>
          <t>590637601</t>
        </is>
      </c>
      <c r="I304" t="n">
        <v>590637601</v>
      </c>
      <c r="J304" t="n">
        <v>590637601</v>
      </c>
      <c r="K304" t="n">
        <v>5906376</v>
      </c>
      <c r="L304" s="61" t="inlineStr">
        <is>
          <t>SQUARE SLEEVE,MK7</t>
        </is>
      </c>
      <c r="M304" s="61" t="inlineStr">
        <is>
          <t>B 598907   R</t>
        </is>
      </c>
      <c r="N304" s="60" t="n">
        <v>1</v>
      </c>
      <c r="O304" s="60" t="n"/>
      <c r="P304" s="60" t="inlineStr">
        <is>
          <t>EA</t>
        </is>
      </c>
      <c r="Q304" s="60" t="n">
        <v>4</v>
      </c>
      <c r="R304" s="60" t="inlineStr">
        <is>
          <t>KITEH</t>
        </is>
      </c>
      <c r="S304" s="56" t="n"/>
      <c r="T304" s="12" t="n"/>
      <c r="U304" s="12" t="n"/>
      <c r="V304" s="12" t="n"/>
      <c r="W304" s="91">
        <f>IF(AND(LEN(D675)&gt;=6,OR(LEFT(D675,1)="4",LEFT(D675,1)="5"),K675="9DRWM"),"SDRWM","")</f>
        <v/>
      </c>
      <c r="X304" s="124" t="n"/>
      <c r="Y304" s="122" t="n"/>
      <c r="Z304" s="122" t="n"/>
    </row>
    <row r="305" hidden="1" ht="12" customFormat="1" customHeight="1" s="46">
      <c r="A305" s="60" t="n"/>
      <c r="B305" s="61" t="inlineStr">
        <is>
          <t>.....6</t>
        </is>
      </c>
      <c r="C305" s="61" t="inlineStr">
        <is>
          <t>0020</t>
        </is>
      </c>
      <c r="D305" s="60" t="n">
        <v>585834</v>
      </c>
      <c r="L305" s="61" t="inlineStr">
        <is>
          <t>SHIM W/TAB 1"ID  (PART 685836)</t>
        </is>
      </c>
      <c r="M305" s="61" t="inlineStr">
        <is>
          <t>A 585834   R  B</t>
        </is>
      </c>
      <c r="N305" s="60" t="n">
        <v>1</v>
      </c>
      <c r="O305" s="60" t="n"/>
      <c r="P305" s="60" t="inlineStr">
        <is>
          <t>EA</t>
        </is>
      </c>
      <c r="Q305" s="60" t="n">
        <v>4</v>
      </c>
      <c r="R305" s="60" t="inlineStr">
        <is>
          <t>KITEH</t>
        </is>
      </c>
      <c r="S305" s="56" t="n"/>
      <c r="T305" s="12" t="n"/>
      <c r="U305" s="12" t="n"/>
      <c r="V305" s="12" t="n"/>
      <c r="W305" s="91">
        <f>IF(AND(LEN(D676)&gt;=6,OR(LEFT(D676,1)="4",LEFT(D676,1)="5"),K676="9DRWM"),"SDRWM","")</f>
        <v/>
      </c>
      <c r="X305" s="54" t="n"/>
    </row>
    <row r="306" hidden="1" ht="12" customFormat="1" customHeight="1" s="46">
      <c r="A306" s="60" t="n"/>
      <c r="B306" s="61" t="inlineStr">
        <is>
          <t>.....6</t>
        </is>
      </c>
      <c r="C306" s="61" t="inlineStr">
        <is>
          <t>0030</t>
        </is>
      </c>
      <c r="D306" s="60" t="n">
        <v>586909</v>
      </c>
      <c r="L306" s="61" t="inlineStr">
        <is>
          <t>SPROCKET 35B16 SQ SLEEVE ALT</t>
        </is>
      </c>
      <c r="M306" s="61" t="inlineStr">
        <is>
          <t>A 586909   R  C</t>
        </is>
      </c>
      <c r="N306" s="60" t="n">
        <v>1</v>
      </c>
      <c r="O306" s="60" t="n"/>
      <c r="P306" s="60" t="inlineStr">
        <is>
          <t>EA</t>
        </is>
      </c>
      <c r="Q306" s="60" t="n">
        <v>4</v>
      </c>
      <c r="R306" s="60" t="inlineStr">
        <is>
          <t>KITEH</t>
        </is>
      </c>
      <c r="S306" s="56" t="n"/>
      <c r="T306" s="12" t="n"/>
      <c r="U306" s="12" t="n"/>
      <c r="V306" s="12" t="n"/>
      <c r="W306" s="91">
        <f>IF(AND(LEN(D677)&gt;=6,OR(LEFT(D677,1)="4",LEFT(D677,1)="5"),K677="9DRWM"),"SDRWM","")</f>
        <v/>
      </c>
      <c r="X306" s="54" t="n"/>
    </row>
    <row r="307" hidden="1" ht="12" customFormat="1" customHeight="1" s="46">
      <c r="A307" s="60" t="n"/>
      <c r="B307" s="61" t="inlineStr">
        <is>
          <t>.....6</t>
        </is>
      </c>
      <c r="C307" s="61" t="inlineStr">
        <is>
          <t>0060</t>
        </is>
      </c>
      <c r="D307" s="60" t="n">
        <v>581611</v>
      </c>
      <c r="E307" t="n">
        <v>9</v>
      </c>
      <c r="F307" t="n">
        <v>5</v>
      </c>
      <c r="G307" t="inlineStr">
        <is>
          <t>90637701</t>
        </is>
      </c>
      <c r="H307" t="inlineStr">
        <is>
          <t>590637701</t>
        </is>
      </c>
      <c r="I307" t="n">
        <v>590637701</v>
      </c>
      <c r="J307" t="n">
        <v>590637701</v>
      </c>
      <c r="K307" t="n">
        <v>5906377</v>
      </c>
      <c r="L307" s="61" t="inlineStr">
        <is>
          <t>KEY 5 X 5 X 15</t>
        </is>
      </c>
      <c r="M307" s="61" t="inlineStr">
        <is>
          <t>A 581611   ** B</t>
        </is>
      </c>
      <c r="N307" s="60" t="n">
        <v>1</v>
      </c>
      <c r="O307" s="60" t="n"/>
      <c r="P307" s="60" t="inlineStr">
        <is>
          <t>EA</t>
        </is>
      </c>
      <c r="Q307" s="60" t="n">
        <v>4</v>
      </c>
      <c r="R307" s="60" t="inlineStr">
        <is>
          <t>KITEH</t>
        </is>
      </c>
      <c r="S307" s="56" t="n"/>
      <c r="T307" s="12" t="n"/>
      <c r="U307" s="12" t="n"/>
      <c r="V307" s="12" t="n"/>
      <c r="W307" s="91">
        <f>IF(AND(LEN(D680)&gt;=6,OR(LEFT(D680,1)="4",LEFT(D680,1)="5"),K680="9DRWM"),"SDRWM","")</f>
        <v/>
      </c>
      <c r="X307" s="124" t="n"/>
      <c r="Y307" s="122" t="n"/>
      <c r="Z307" s="122" t="n"/>
    </row>
    <row r="308" ht="12" customFormat="1" customHeight="1" s="46">
      <c r="A308" s="60" t="n"/>
      <c r="B308" s="61" t="inlineStr">
        <is>
          <t>..3</t>
        </is>
      </c>
      <c r="C308" s="61" t="inlineStr">
        <is>
          <t>0160</t>
        </is>
      </c>
      <c r="D308" s="60" t="n">
        <v>596099</v>
      </c>
      <c r="L308" s="61" t="inlineStr">
        <is>
          <t>BRACKET,MK5 BOT SDWALL TO BASE</t>
        </is>
      </c>
      <c r="M308" s="61" t="inlineStr">
        <is>
          <t>B 596099   R  A</t>
        </is>
      </c>
      <c r="N308" s="60" t="n">
        <v>4</v>
      </c>
      <c r="O308" s="60" t="n"/>
      <c r="P308" s="60" t="inlineStr">
        <is>
          <t>EA</t>
        </is>
      </c>
      <c r="Q308" s="60" t="n">
        <v>4</v>
      </c>
      <c r="R308" s="60" t="inlineStr">
        <is>
          <t>KITM</t>
        </is>
      </c>
      <c r="S308" s="56" t="n"/>
      <c r="T308" s="12" t="n"/>
      <c r="U308" s="12" t="n"/>
      <c r="V308" s="12" t="n"/>
      <c r="W308" s="91">
        <f>IF(AND(LEN(D682)&gt;=6,OR(LEFT(D682,1)="4",LEFT(D682,1)="5"),K682="9DRWM"),"SDRWM","")</f>
        <v/>
      </c>
      <c r="X308" s="54" t="n"/>
    </row>
    <row r="309" hidden="1" ht="12" customFormat="1" customHeight="1" s="46">
      <c r="A309" s="60" t="n"/>
      <c r="B309" s="61" t="inlineStr">
        <is>
          <t>....5</t>
        </is>
      </c>
      <c r="C309" s="61" t="inlineStr">
        <is>
          <t>0070</t>
        </is>
      </c>
      <c r="D309" s="60" t="n">
        <v>586799</v>
      </c>
      <c r="L309" s="61" t="inlineStr">
        <is>
          <t>ROLLER ASS'Y 56MM DIA</t>
        </is>
      </c>
      <c r="M309" s="61" t="inlineStr">
        <is>
          <t>A 586799   ** A</t>
        </is>
      </c>
      <c r="N309" s="60" t="n">
        <v>1</v>
      </c>
      <c r="O309" s="60" t="n"/>
      <c r="P309" s="60" t="inlineStr">
        <is>
          <t>EA</t>
        </is>
      </c>
      <c r="Q309" s="60" t="n">
        <v>9</v>
      </c>
      <c r="R309" s="60" t="inlineStr">
        <is>
          <t>KITEH</t>
        </is>
      </c>
      <c r="S309" s="56" t="n"/>
      <c r="T309" s="12" t="n"/>
      <c r="U309" s="12" t="n"/>
      <c r="V309" s="12" t="n"/>
      <c r="W309" s="91">
        <f>IF(AND(LEN(D683)&gt;=6,OR(LEFT(D683,1)="4",LEFT(D683,1)="5"),K683="9DRWM"),"SDRWM","")</f>
        <v/>
      </c>
      <c r="X309" s="54" t="n"/>
    </row>
    <row r="310" hidden="1" ht="12" customFormat="1" customHeight="1" s="46">
      <c r="A310" s="60" t="n"/>
      <c r="B310" s="61" t="inlineStr">
        <is>
          <t>.....6</t>
        </is>
      </c>
      <c r="C310" s="61" t="inlineStr">
        <is>
          <t>0010</t>
        </is>
      </c>
      <c r="D310" s="60" t="n">
        <v>586800</v>
      </c>
      <c r="E310" t="n">
        <v>9</v>
      </c>
      <c r="F310" t="n">
        <v>5</v>
      </c>
      <c r="G310" t="inlineStr">
        <is>
          <t>90638402</t>
        </is>
      </c>
      <c r="H310" t="inlineStr">
        <is>
          <t>590638402</t>
        </is>
      </c>
      <c r="I310" t="n">
        <v>590638402</v>
      </c>
      <c r="J310" t="n">
        <v>590638402</v>
      </c>
      <c r="K310" t="n">
        <v>5906384</v>
      </c>
      <c r="L310" s="61" t="inlineStr">
        <is>
          <t>ROLLER 27MM DIA</t>
        </is>
      </c>
      <c r="M310" s="61" t="inlineStr">
        <is>
          <t>A 586800   R  A</t>
        </is>
      </c>
      <c r="N310" s="60" t="n">
        <v>1</v>
      </c>
      <c r="O310" s="60" t="n"/>
      <c r="P310" s="60" t="inlineStr">
        <is>
          <t>EA</t>
        </is>
      </c>
      <c r="Q310" s="60" t="n">
        <v>4</v>
      </c>
      <c r="R310" s="60" t="inlineStr">
        <is>
          <t>KITEH</t>
        </is>
      </c>
      <c r="S310" s="56" t="n"/>
      <c r="T310" s="12" t="n"/>
      <c r="U310" s="12" t="n"/>
      <c r="V310" s="12" t="n"/>
      <c r="W310" s="91">
        <f>IF(AND(LEN(D684)&gt;=6,OR(LEFT(D684,1)="4",LEFT(D684,1)="5"),K684="9DRWM"),"SDRWM","")</f>
        <v/>
      </c>
      <c r="X310" s="124" t="n"/>
      <c r="Y310" s="122" t="n"/>
      <c r="Z310" s="122" t="n"/>
    </row>
    <row r="311" hidden="1" ht="12" customFormat="1" customHeight="1" s="46">
      <c r="A311" s="60" t="n"/>
      <c r="B311" s="61" t="inlineStr">
        <is>
          <t>.....6</t>
        </is>
      </c>
      <c r="C311" s="61" t="inlineStr">
        <is>
          <t>0020</t>
        </is>
      </c>
      <c r="D311" s="60" t="n">
        <v>595103</v>
      </c>
      <c r="E311" t="n">
        <v>9</v>
      </c>
      <c r="F311" t="n">
        <v>5</v>
      </c>
      <c r="G311" t="inlineStr">
        <is>
          <t>90639001</t>
        </is>
      </c>
      <c r="H311" t="inlineStr">
        <is>
          <t>590639001</t>
        </is>
      </c>
      <c r="I311" t="n">
        <v>590639001</v>
      </c>
      <c r="J311" t="n">
        <v>590639001</v>
      </c>
      <c r="K311" t="n">
        <v>5906390</v>
      </c>
      <c r="L311" s="61" t="inlineStr">
        <is>
          <t>IGUS SLEEVE BRG,10ID X 18MM LG</t>
        </is>
      </c>
      <c r="M311" s="61" t="inlineStr">
        <is>
          <t>A 595103   R  A</t>
        </is>
      </c>
      <c r="N311" s="60" t="n">
        <v>1</v>
      </c>
      <c r="O311" s="60" t="n"/>
      <c r="P311" s="60" t="inlineStr">
        <is>
          <t>EA</t>
        </is>
      </c>
      <c r="Q311" s="60" t="n">
        <v>4</v>
      </c>
      <c r="R311" s="60" t="inlineStr">
        <is>
          <t>KITEH</t>
        </is>
      </c>
      <c r="S311" s="56" t="n"/>
      <c r="T311" s="12" t="n"/>
      <c r="U311" s="12" t="n"/>
      <c r="V311" s="12" t="n"/>
      <c r="W311" s="91">
        <f>IF(AND(LEN(D685)&gt;=6,OR(LEFT(D685,1)="4",LEFT(D685,1)="5"),K685="9DRWM"),"SDRWM","")</f>
        <v/>
      </c>
      <c r="X311" s="124" t="n"/>
      <c r="Y311" s="122" t="n"/>
      <c r="Z311" s="122" t="n"/>
    </row>
    <row r="312" hidden="1" ht="12" customFormat="1" customHeight="1" s="46">
      <c r="A312" s="60" t="n"/>
      <c r="B312" s="61" t="inlineStr">
        <is>
          <t>....5</t>
        </is>
      </c>
      <c r="C312" s="61" t="inlineStr">
        <is>
          <t>0080</t>
        </is>
      </c>
      <c r="D312" s="60" t="n">
        <v>571640</v>
      </c>
      <c r="E312" t="n">
        <v>9</v>
      </c>
      <c r="F312" t="n">
        <v>5</v>
      </c>
      <c r="G312" t="inlineStr">
        <is>
          <t>90639002</t>
        </is>
      </c>
      <c r="H312" t="inlineStr">
        <is>
          <t>590639002</t>
        </is>
      </c>
      <c r="I312" t="n">
        <v>590639002</v>
      </c>
      <c r="J312" t="n">
        <v>590639002</v>
      </c>
      <c r="K312" t="n">
        <v>5906390</v>
      </c>
      <c r="L312" s="61" t="inlineStr">
        <is>
          <t>EXIT/ENTRANCE GUIDE</t>
        </is>
      </c>
      <c r="M312" s="61" t="inlineStr">
        <is>
          <t>A  571640  R  B</t>
        </is>
      </c>
      <c r="N312" s="60" t="n">
        <v>1</v>
      </c>
      <c r="O312" s="60" t="n"/>
      <c r="P312" s="60" t="inlineStr">
        <is>
          <t>EA</t>
        </is>
      </c>
      <c r="Q312" s="60" t="n">
        <v>4</v>
      </c>
      <c r="R312" s="60" t="inlineStr">
        <is>
          <t>KITEH</t>
        </is>
      </c>
      <c r="S312" s="56" t="n"/>
      <c r="T312" s="12" t="n"/>
      <c r="U312" s="12" t="n"/>
      <c r="V312" s="12" t="n"/>
      <c r="W312" s="91">
        <f>IF(AND(LEN(D686)&gt;=6,OR(LEFT(D686,1)="4",LEFT(D686,1)="5"),K686="9DRWM"),"SDRWM","")</f>
        <v/>
      </c>
      <c r="X312" s="124" t="n"/>
      <c r="Y312" s="122" t="n"/>
      <c r="Z312" s="122" t="n"/>
    </row>
    <row r="313" hidden="1" ht="12" customFormat="1" customHeight="1" s="46">
      <c r="A313" s="60" t="n"/>
      <c r="B313" s="61" t="inlineStr">
        <is>
          <t>....5</t>
        </is>
      </c>
      <c r="C313" s="61" t="inlineStr">
        <is>
          <t>0090</t>
        </is>
      </c>
      <c r="D313" s="60" t="n">
        <v>59891001</v>
      </c>
      <c r="L313" s="61" t="inlineStr">
        <is>
          <t>SUPPORT PIN 24.8</t>
        </is>
      </c>
      <c r="M313" s="61" t="inlineStr">
        <is>
          <t>A 598910XX R</t>
        </is>
      </c>
      <c r="N313" s="60" t="n">
        <v>1</v>
      </c>
      <c r="O313" s="60" t="n"/>
      <c r="P313" s="60" t="inlineStr">
        <is>
          <t>EA</t>
        </is>
      </c>
      <c r="Q313" s="60" t="n">
        <v>4</v>
      </c>
      <c r="R313" s="60" t="inlineStr">
        <is>
          <t>KITEH</t>
        </is>
      </c>
      <c r="S313" s="56" t="n"/>
      <c r="T313" s="12" t="n"/>
      <c r="U313" s="12" t="n"/>
      <c r="V313" s="12" t="n"/>
      <c r="W313" s="91">
        <f>IF(AND(LEN(D687)&gt;=6,OR(LEFT(D687,1)="4",LEFT(D687,1)="5"),K687="9DRWM"),"SDRWM","")</f>
        <v/>
      </c>
      <c r="X313" s="54" t="n"/>
    </row>
    <row r="314" hidden="1" ht="12" customFormat="1" customHeight="1" s="46"/>
    <row r="315" hidden="1" ht="12" customFormat="1" customHeight="1" s="46"/>
    <row r="316" hidden="1" ht="12" customFormat="1" customHeight="1" s="46"/>
    <row r="317" hidden="1" ht="12" customFormat="1" customHeight="1" s="46"/>
    <row r="318" hidden="1" ht="12" customFormat="1" customHeight="1" s="46"/>
    <row r="319" hidden="1" ht="12" customFormat="1" customHeight="1" s="46"/>
    <row r="320" hidden="1" ht="12" customFormat="1" customHeight="1" s="46"/>
    <row r="321" hidden="1" ht="12" customFormat="1" customHeight="1" s="46"/>
    <row r="322" hidden="1" ht="12" customFormat="1" customHeight="1" s="46"/>
    <row r="323" hidden="1" ht="12" customFormat="1" customHeight="1" s="46"/>
    <row r="324" hidden="1" ht="12" customFormat="1" customHeight="1" s="46"/>
    <row r="325" hidden="1" ht="12" customFormat="1" customHeight="1" s="46"/>
    <row r="326" hidden="1" ht="12" customFormat="1" customHeight="1" s="46"/>
    <row r="327" ht="12" customFormat="1" customHeight="1" s="46"/>
    <row r="328" hidden="1" ht="12" customFormat="1" customHeight="1" s="10"/>
    <row r="329" hidden="1" ht="12" customFormat="1" customHeight="1" s="46"/>
    <row r="330" hidden="1" ht="12" customFormat="1" customHeight="1" s="46"/>
    <row r="331" hidden="1" ht="12" customFormat="1" customHeight="1" s="46"/>
    <row r="332" hidden="1" ht="12" customFormat="1" customHeight="1" s="46"/>
    <row r="333" hidden="1" ht="12" customHeight="1" s="121"/>
    <row r="334" hidden="1" ht="12" customFormat="1" customHeight="1" s="46"/>
    <row r="335" hidden="1" ht="12" customFormat="1" customHeight="1" s="46"/>
    <row r="336" hidden="1" ht="12" customFormat="1" customHeight="1" s="46"/>
    <row r="337" hidden="1" ht="12" customHeight="1" s="121"/>
    <row r="338" ht="12" customHeight="1" s="121"/>
    <row r="339" hidden="1" ht="12" customHeight="1" s="121"/>
    <row r="340" hidden="1" ht="12" customHeight="1" s="121"/>
    <row r="341" hidden="1" ht="12" customHeight="1" s="121"/>
    <row r="342" hidden="1" ht="12" customHeight="1" s="121"/>
    <row r="343" hidden="1" ht="12" customHeight="1" s="121"/>
    <row r="344" hidden="1" ht="12" customHeight="1" s="121"/>
    <row r="345" hidden="1" ht="12" customHeight="1" s="121"/>
    <row r="346" hidden="1" ht="12" customHeight="1" s="121"/>
    <row r="347" hidden="1" ht="12" customHeight="1" s="121"/>
    <row r="348" ht="12" customHeight="1" s="121"/>
    <row r="349" ht="12" customHeight="1" s="121"/>
    <row r="350" hidden="1" ht="12" customHeight="1" s="121"/>
    <row r="351" hidden="1" ht="12" customFormat="1" customHeight="1" s="46"/>
    <row r="352" hidden="1" ht="12" customFormat="1" customHeight="1" s="46"/>
    <row r="353" hidden="1" ht="12" customFormat="1" customHeight="1" s="46"/>
    <row r="354" hidden="1" ht="12" customFormat="1" customHeight="1" s="46"/>
    <row r="355" hidden="1" ht="12" customFormat="1" customHeight="1" s="46"/>
    <row r="356" hidden="1" ht="12" customFormat="1" customHeight="1" s="46"/>
    <row r="357" hidden="1" ht="12" customFormat="1" customHeight="1" s="46"/>
    <row r="358" hidden="1" ht="12" customFormat="1" customHeight="1" s="46"/>
    <row r="359" hidden="1" ht="12" customFormat="1" customHeight="1" s="46"/>
    <row r="360" hidden="1" ht="12" customFormat="1" customHeight="1" s="53"/>
    <row r="361" hidden="1" ht="12" customFormat="1" customHeight="1" s="46"/>
    <row r="362" hidden="1" ht="12" customFormat="1" customHeight="1" s="46"/>
    <row r="363" hidden="1" ht="12" customFormat="1" customHeight="1" s="46"/>
    <row r="364" hidden="1" ht="12" customFormat="1" customHeight="1" s="46"/>
    <row r="365" hidden="1" ht="12" customFormat="1" customHeight="1" s="46"/>
    <row r="366" hidden="1" ht="12" customFormat="1" customHeight="1" s="46"/>
    <row r="367" hidden="1" ht="12" customFormat="1" customHeight="1" s="46"/>
    <row r="368" hidden="1" ht="12" customFormat="1" customHeight="1" s="46"/>
    <row r="369" hidden="1" ht="12" customFormat="1" customHeight="1" s="46"/>
    <row r="370" hidden="1" ht="12" customFormat="1" customHeight="1" s="46"/>
    <row r="371" hidden="1" ht="12" customHeight="1" s="121"/>
    <row r="372" hidden="1" ht="12" customHeight="1" s="121"/>
    <row r="373" hidden="1" ht="12" customHeight="1" s="121"/>
    <row r="374" hidden="1" ht="12" customHeight="1" s="121"/>
    <row r="375" hidden="1" ht="12" customHeight="1" s="121"/>
    <row r="376" hidden="1" ht="12" customFormat="1" customHeight="1" s="46"/>
    <row r="377" hidden="1" ht="12" customFormat="1" customHeight="1" s="46"/>
    <row r="378" hidden="1" ht="12" customFormat="1" customHeight="1" s="46"/>
    <row r="379" hidden="1" ht="12" customHeight="1" s="121"/>
    <row r="380" hidden="1" ht="12" customHeight="1" s="121"/>
    <row r="381" hidden="1" ht="12" customFormat="1" customHeight="1" s="46"/>
    <row r="382" ht="12" customHeight="1" s="121"/>
    <row r="383" hidden="1" ht="12" customFormat="1" customHeight="1" s="46"/>
    <row r="384" hidden="1" ht="12" customFormat="1" customHeight="1" s="10"/>
    <row r="385" ht="12" customFormat="1" customHeight="1" s="10"/>
    <row r="386" ht="12" customFormat="1" customHeight="1" s="46"/>
    <row r="387" hidden="1" ht="12" customFormat="1" customHeight="1" s="53"/>
    <row r="388" ht="12" customFormat="1" customHeight="1" s="53"/>
    <row r="389" hidden="1" ht="12" customFormat="1" customHeight="1" s="53"/>
    <row r="390" hidden="1" ht="12" customFormat="1" customHeight="1" s="53"/>
    <row r="391" hidden="1" ht="12" customFormat="1" customHeight="1" s="53"/>
    <row r="392" hidden="1" ht="12" customFormat="1" customHeight="1" s="53"/>
    <row r="393" hidden="1" ht="12" customFormat="1" customHeight="1" s="53"/>
    <row r="394" hidden="1" ht="12" customFormat="1" customHeight="1" s="53"/>
    <row r="395" ht="12" customFormat="1" customHeight="1" s="53"/>
    <row r="396" hidden="1" ht="12" customFormat="1" customHeight="1" s="53"/>
    <row r="397" hidden="1" ht="12" customHeight="1" s="121"/>
    <row r="398" hidden="1" ht="12" customHeight="1" s="121"/>
    <row r="399" hidden="1" ht="12" customHeight="1" s="121"/>
    <row r="400" hidden="1" ht="12" customHeight="1" s="121"/>
    <row r="401" hidden="1" ht="12" customHeight="1" s="121"/>
    <row r="402" hidden="1" ht="12" customHeight="1" s="121"/>
    <row r="403" hidden="1" ht="12" customHeight="1" s="121"/>
    <row r="404" ht="12" customHeight="1" s="121"/>
    <row r="405" hidden="1" ht="12" customHeight="1" s="121"/>
    <row r="406" hidden="1" ht="12" customHeight="1" s="121"/>
    <row r="407" hidden="1" ht="12" customHeight="1" s="121"/>
    <row r="408" hidden="1" ht="12" customHeight="1" s="121"/>
    <row r="409" ht="12" customHeight="1" s="121"/>
    <row r="410" ht="12" customFormat="1" customHeight="1" s="10"/>
    <row r="411" ht="12" customHeight="1" s="121"/>
    <row r="412" ht="12" customHeight="1" s="121"/>
    <row r="413" ht="12" customHeight="1" s="121"/>
    <row r="414" hidden="1" ht="12" customHeight="1" s="121"/>
    <row r="415" hidden="1" ht="12" customHeight="1" s="121"/>
    <row r="416" hidden="1" ht="12" customHeight="1" s="121"/>
    <row r="417" ht="12" customFormat="1" customHeight="1" s="10"/>
    <row r="418" hidden="1" ht="12" customHeight="1" s="121"/>
    <row r="419" hidden="1" ht="12" customHeight="1" s="121"/>
    <row r="420" hidden="1" ht="12" customHeight="1" s="121"/>
    <row r="421" hidden="1" ht="12" customHeight="1" s="121"/>
    <row r="422" hidden="1" ht="12" customFormat="1" customHeight="1" s="10"/>
    <row r="423" ht="12" customFormat="1" customHeight="1" s="42"/>
    <row r="424" hidden="1" ht="12" customHeight="1" s="121"/>
    <row r="425" hidden="1" ht="12" customHeight="1" s="121"/>
    <row r="426" hidden="1" ht="12" customHeight="1" s="121"/>
    <row r="427" hidden="1" ht="12" customHeight="1" s="121"/>
    <row r="428" ht="12" customFormat="1" customHeight="1" s="46"/>
    <row r="429" ht="12" customFormat="1" customHeight="1" s="46"/>
    <row r="430" ht="12" customFormat="1" customHeight="1" s="53"/>
    <row r="431" ht="12" customFormat="1" customHeight="1" s="53"/>
    <row r="432" ht="12" customFormat="1" customHeight="1" s="53"/>
    <row r="433" ht="12" customFormat="1" customHeight="1" s="10"/>
    <row r="434" hidden="1" ht="12" customFormat="1" customHeight="1" s="46"/>
    <row r="435" hidden="1" ht="12" customFormat="1" customHeight="1" s="53"/>
    <row r="436" ht="12" customFormat="1" customHeight="1" s="53"/>
    <row r="437" ht="12" customFormat="1" customHeight="1" s="10"/>
    <row r="438" hidden="1" ht="12" customFormat="1" customHeight="1" s="10"/>
    <row r="439" ht="12" customFormat="1" customHeight="1" s="46"/>
    <row r="440" ht="12" customFormat="1" customHeight="1" s="46"/>
    <row r="441" hidden="1" ht="12" customFormat="1" customHeight="1" s="53"/>
    <row r="442" ht="12" customFormat="1" customHeight="1" s="53"/>
    <row r="443" ht="12" customFormat="1" customHeight="1" s="10"/>
    <row r="444" hidden="1" ht="12" customFormat="1" customHeight="1" s="10"/>
    <row r="445" ht="12" customFormat="1" customHeight="1" s="46"/>
    <row r="446" ht="12" customFormat="1" customHeight="1" s="46"/>
    <row r="447" hidden="1" ht="12" customFormat="1" customHeight="1" s="46"/>
    <row r="448" ht="12" customFormat="1" customHeight="1" s="46"/>
    <row r="449" ht="12" customFormat="1" customHeight="1" s="53"/>
    <row r="450" hidden="1" ht="12" customFormat="1" customHeight="1" s="46"/>
    <row r="451" ht="12" customFormat="1" customHeight="1" s="46"/>
    <row r="452" ht="12" customFormat="1" customHeight="1" s="46"/>
    <row r="453" hidden="1" ht="12" customFormat="1" customHeight="1" s="46"/>
    <row r="454" ht="12" customFormat="1" customHeight="1" s="46"/>
    <row r="455" ht="12" customFormat="1" customHeight="1" s="46"/>
    <row r="456" ht="12" customFormat="1" customHeight="1" s="46"/>
    <row r="457" ht="12" customFormat="1" customHeight="1" s="46"/>
    <row r="458" hidden="1" ht="12" customFormat="1" customHeight="1" s="46"/>
    <row r="459" hidden="1" ht="12" customFormat="1" customHeight="1" s="46"/>
    <row r="460" hidden="1" ht="12" customFormat="1" customHeight="1" s="46"/>
    <row r="461" hidden="1" ht="12" customFormat="1" customHeight="1" s="46"/>
    <row r="462" hidden="1" ht="12" customFormat="1" customHeight="1" s="46"/>
    <row r="463" hidden="1" ht="12" customFormat="1" customHeight="1" s="46"/>
    <row r="464" ht="12" customFormat="1" customHeight="1" s="46"/>
    <row r="465" ht="12" customFormat="1" customHeight="1" s="46"/>
    <row r="466" ht="12" customFormat="1" customHeight="1" s="46"/>
    <row r="467" ht="12" customFormat="1" customHeight="1" s="46"/>
    <row r="468" ht="12" customFormat="1" customHeight="1" s="53"/>
    <row r="469" ht="12" customFormat="1" customHeight="1" s="53"/>
    <row r="470" ht="12" customFormat="1" customHeight="1" s="53"/>
    <row r="471" ht="12" customFormat="1" customHeight="1" s="53"/>
    <row r="472" ht="12" customFormat="1" customHeight="1" s="53"/>
    <row r="473" ht="12" customFormat="1" customHeight="1" s="53"/>
    <row r="474" ht="12" customFormat="1" customHeight="1" s="53"/>
    <row r="475" hidden="1" ht="12" customFormat="1" customHeight="1" s="53"/>
    <row r="476" hidden="1" ht="12" customFormat="1" customHeight="1" s="53"/>
    <row r="477" hidden="1" ht="12" customFormat="1" customHeight="1" s="53"/>
    <row r="478" ht="12" customFormat="1" customHeight="1" s="53"/>
    <row r="479" ht="12" customFormat="1" customHeight="1" s="53"/>
    <row r="480" ht="12" customFormat="1" customHeight="1" s="46"/>
    <row r="481" hidden="1" ht="12" customFormat="1" customHeight="1" s="46"/>
    <row r="482" ht="12" customHeight="1" s="121"/>
    <row r="483" ht="12" customHeight="1" s="121"/>
    <row r="484" hidden="1" ht="12" customHeight="1" s="121"/>
    <row r="485" ht="12" customFormat="1" customHeight="1" s="10"/>
    <row r="486" ht="12" customFormat="1" customHeight="1" s="46"/>
    <row r="487" hidden="1" ht="12" customHeight="1" s="121"/>
    <row r="488" ht="12" customHeight="1" s="121"/>
    <row r="489" ht="12" customHeight="1" s="121"/>
    <row r="490" hidden="1" ht="12" customHeight="1" s="121"/>
    <row r="491" ht="12" customHeight="1" s="121"/>
    <row r="492" ht="12" customHeight="1" s="121"/>
    <row r="493" hidden="1" ht="12" customHeight="1" s="121"/>
    <row r="494" hidden="1" ht="12" customHeight="1" s="121"/>
    <row r="495" hidden="1" ht="12" customHeight="1" s="121"/>
    <row r="496" hidden="1" ht="12" customHeight="1" s="121"/>
    <row r="497" hidden="1" ht="12" customHeight="1" s="121"/>
    <row r="498" hidden="1" ht="12" customHeight="1" s="121"/>
    <row r="499" hidden="1" ht="12" customHeight="1" s="121"/>
    <row r="500" hidden="1" ht="12" customHeight="1" s="121"/>
    <row r="501" hidden="1" ht="12" customHeight="1" s="121"/>
    <row r="502" hidden="1" ht="12" customHeight="1" s="121"/>
    <row r="503" ht="12" customHeight="1" s="121"/>
    <row r="504" ht="12" customFormat="1" customHeight="1" s="46"/>
    <row r="505" ht="12" customHeight="1" s="121"/>
    <row r="506" hidden="1" ht="12" customHeight="1" s="121"/>
    <row r="507" ht="12" customHeight="1" s="121"/>
    <row r="508" ht="12" customFormat="1" customHeight="1" s="53"/>
    <row r="509" ht="12" customFormat="1" customHeight="1" s="53"/>
    <row r="510" ht="12" customFormat="1" customHeight="1" s="53"/>
    <row r="511" hidden="1" ht="12" customFormat="1" customHeight="1" s="10"/>
    <row r="512" ht="12" customFormat="1" customHeight="1" s="46"/>
    <row r="513" ht="12" customFormat="1" customHeight="1" s="53"/>
    <row r="514" ht="12" customFormat="1" customHeight="1" s="53"/>
    <row r="515" ht="12" customFormat="1" customHeight="1" s="53"/>
    <row r="516" hidden="1" ht="12" customFormat="1" customHeight="1" s="10"/>
    <row r="517" hidden="1" ht="12" customHeight="1" s="121"/>
    <row r="518" hidden="1" ht="12" customFormat="1" customHeight="1" s="46"/>
    <row r="519" hidden="1" ht="12" customFormat="1" customHeight="1" s="46"/>
    <row r="520" hidden="1" ht="12" customFormat="1" customHeight="1" s="46"/>
    <row r="521" ht="12" customFormat="1" customHeight="1" s="46"/>
    <row r="522" ht="12" customFormat="1" customHeight="1" s="46"/>
    <row r="523" ht="12" customFormat="1" customHeight="1" s="46"/>
    <row r="524" ht="12" customFormat="1" customHeight="1" s="46"/>
    <row r="525" ht="12" customFormat="1" customHeight="1" s="46"/>
    <row r="526" ht="12" customFormat="1" customHeight="1" s="46"/>
    <row r="527" ht="12" customFormat="1" customHeight="1" s="46"/>
    <row r="528" ht="12" customFormat="1" customHeight="1" s="46"/>
    <row r="529" ht="12" customFormat="1" customHeight="1" s="46"/>
    <row r="530" hidden="1" ht="12" customFormat="1" customHeight="1" s="53"/>
    <row r="531" hidden="1" ht="12" customFormat="1" customHeight="1" s="53"/>
    <row r="532" hidden="1" ht="12" customFormat="1" customHeight="1" s="53"/>
    <row r="533" hidden="1" ht="12" customFormat="1" customHeight="1" s="53"/>
    <row r="534" ht="12" customFormat="1" customHeight="1" s="53"/>
    <row r="535" ht="12" customFormat="1" customHeight="1" s="53"/>
    <row r="536" ht="12" customFormat="1" customHeight="1" s="53"/>
    <row r="537" ht="12" customFormat="1" customHeight="1" s="46"/>
    <row r="538" ht="12" customFormat="1" customHeight="1" s="46"/>
    <row r="539" hidden="1" ht="12" customFormat="1" customHeight="1" s="46"/>
    <row r="540" ht="12" customFormat="1" customHeight="1" s="10"/>
    <row r="541" ht="12" customFormat="1" customHeight="1" s="46"/>
    <row r="542" ht="12" customFormat="1" customHeight="1" s="46"/>
    <row r="543" ht="12" customFormat="1" customHeight="1" s="53"/>
    <row r="544" ht="12" customHeight="1" s="121"/>
    <row r="545" ht="12" customHeight="1" s="121"/>
    <row r="546" ht="12" customHeight="1" s="121"/>
    <row r="547" ht="12" customHeight="1" s="121"/>
    <row r="548" ht="12" customFormat="1" customHeight="1" s="10"/>
    <row r="549" ht="12" customFormat="1" customHeight="1" s="10"/>
    <row r="550" ht="12" customFormat="1" customHeight="1" s="10"/>
    <row r="551" hidden="1" ht="12" customFormat="1" customHeight="1" s="46"/>
    <row r="552" ht="12" customFormat="1" customHeight="1" s="46"/>
    <row r="553" hidden="1" ht="12" customFormat="1" customHeight="1" s="46"/>
    <row r="554" ht="12" customFormat="1" customHeight="1" s="46"/>
    <row r="555" hidden="1" ht="12" customFormat="1" customHeight="1" s="46"/>
    <row r="556" ht="12" customFormat="1" customHeight="1" s="46"/>
    <row r="557" hidden="1" ht="12" customFormat="1" customHeight="1" s="46"/>
    <row r="558" hidden="1" ht="12" customFormat="1" customHeight="1" s="46"/>
    <row r="559" ht="12" customFormat="1" customHeight="1" s="46"/>
    <row r="560" hidden="1" ht="12" customFormat="1" customHeight="1" s="46"/>
    <row r="561" hidden="1" ht="12" customFormat="1" customHeight="1" s="46"/>
    <row r="562" ht="12" customHeight="1" s="121"/>
    <row r="563" hidden="1" ht="12" customHeight="1" s="121"/>
    <row r="564" hidden="1" ht="12" customHeight="1" s="121"/>
    <row r="565" hidden="1" ht="12" customFormat="1" customHeight="1" s="53"/>
    <row r="566" ht="12" customFormat="1" customHeight="1" s="10"/>
    <row r="567" hidden="1" ht="12" customFormat="1" customHeight="1" s="10"/>
    <row r="568" hidden="1" ht="12" customFormat="1" customHeight="1" s="46"/>
    <row r="569" hidden="1" ht="12" customFormat="1" customHeight="1" s="46"/>
    <row r="570" ht="12" customFormat="1" customHeight="1" s="46"/>
    <row r="571" hidden="1" ht="12" customFormat="1" customHeight="1" s="46"/>
    <row r="572" hidden="1" ht="12" customFormat="1" customHeight="1" s="53"/>
    <row r="573" ht="12" customFormat="1" customHeight="1" s="10"/>
    <row r="574" ht="12" customFormat="1" customHeight="1" s="46"/>
    <row r="575" ht="12" customHeight="1" s="121"/>
    <row r="576" ht="12" customHeight="1" s="121"/>
    <row r="577" ht="12" customHeight="1" s="121"/>
    <row r="578" ht="12" customHeight="1" s="121"/>
    <row r="579" ht="12" customHeight="1" s="121"/>
    <row r="580" ht="12" customFormat="1" customHeight="1" s="46"/>
    <row r="581" ht="12" customHeight="1" s="121"/>
    <row r="582" ht="12" customHeight="1" s="121"/>
    <row r="583" ht="12" customHeight="1" s="121"/>
    <row r="584" ht="12" customHeight="1" s="121"/>
    <row r="585" ht="12" customFormat="1" customHeight="1" s="46"/>
    <row r="586" hidden="1" ht="12" customHeight="1" s="121"/>
    <row r="587" ht="12" customFormat="1" customHeight="1" s="10"/>
    <row r="588" hidden="1" ht="12" customFormat="1" customHeight="1" s="46"/>
    <row r="589" hidden="1" ht="12" customFormat="1" customHeight="1" s="46"/>
    <row r="590" hidden="1" ht="12" customHeight="1" s="121"/>
    <row r="591" ht="12" customHeight="1" s="121"/>
    <row r="592" hidden="1" ht="12" customHeight="1" s="121"/>
    <row r="593" hidden="1" ht="12" customHeight="1" s="121"/>
    <row r="594" ht="12" customFormat="1" customHeight="1" s="46"/>
    <row r="595" hidden="1" ht="12" customFormat="1" customHeight="1" s="46"/>
    <row r="596" hidden="1" ht="12" customFormat="1" customHeight="1" s="46"/>
    <row r="597" ht="12" customFormat="1" customHeight="1" s="46"/>
    <row r="598" ht="12" customFormat="1" customHeight="1" s="46"/>
    <row r="599" hidden="1" ht="12" customFormat="1" customHeight="1" s="46"/>
    <row r="600" hidden="1" ht="12" customFormat="1" customHeight="1" s="46"/>
    <row r="601" hidden="1" ht="12" customFormat="1" customHeight="1" s="46"/>
    <row r="602" hidden="1" ht="12" customFormat="1" customHeight="1" s="10"/>
    <row r="603" ht="12" customFormat="1" customHeight="1" s="10"/>
    <row r="604" ht="12" customFormat="1" customHeight="1" s="10"/>
    <row r="605" ht="12" customFormat="1" customHeight="1" s="10"/>
    <row r="606" hidden="1" ht="12" customFormat="1" customHeight="1" s="10"/>
    <row r="607" ht="12" customFormat="1" customHeight="1" s="46"/>
    <row r="608" hidden="1" ht="12" customFormat="1" customHeight="1" s="46"/>
    <row r="609" ht="12" customFormat="1" customHeight="1" s="46"/>
    <row r="610" ht="12" customFormat="1" customHeight="1" s="46"/>
    <row r="611" ht="12" customFormat="1" customHeight="1" s="46"/>
    <row r="612" ht="12" customFormat="1" customHeight="1" s="46"/>
    <row r="613" hidden="1" ht="12" customFormat="1" customHeight="1" s="46"/>
    <row r="614" hidden="1" ht="12" customFormat="1" customHeight="1" s="46"/>
    <row r="615" hidden="1" ht="12" customFormat="1" customHeight="1" s="46"/>
    <row r="616" ht="12" customFormat="1" customHeight="1" s="46"/>
    <row r="617" ht="12" customFormat="1" customHeight="1" s="46"/>
    <row r="618" ht="12" customFormat="1" customHeight="1" s="46"/>
    <row r="619" ht="12" customFormat="1" customHeight="1" s="46"/>
    <row r="620" ht="12" customFormat="1" customHeight="1" s="46"/>
    <row r="621" ht="12" customHeight="1" s="121"/>
    <row r="622" ht="12" customHeight="1" s="121"/>
    <row r="623" hidden="1" ht="12" customHeight="1" s="121"/>
    <row r="624" ht="12" customFormat="1" customHeight="1" s="46"/>
    <row r="625" hidden="1" ht="12" customHeight="1" s="121"/>
    <row r="626" hidden="1" ht="12" customFormat="1" customHeight="1" s="10"/>
    <row r="627" ht="12" customFormat="1" customHeight="1" s="46"/>
    <row r="628" ht="12" customFormat="1" customHeight="1" s="46"/>
    <row r="629" ht="12" customFormat="1" customHeight="1" s="46"/>
    <row r="630" hidden="1" ht="12" customFormat="1" customHeight="1" s="46"/>
    <row r="631" hidden="1" ht="12" customHeight="1" s="121"/>
    <row r="632" ht="12" customHeight="1" s="121"/>
    <row r="633" ht="12" customHeight="1" s="121"/>
    <row r="634" ht="12" customHeight="1" s="121"/>
    <row r="635" ht="12" customFormat="1" customHeight="1" s="46"/>
    <row r="636" ht="12" customHeight="1" s="121"/>
    <row r="637" ht="12" customHeight="1" s="121"/>
    <row r="638" hidden="1" ht="12" customFormat="1" customHeight="1" s="53"/>
    <row r="639" ht="12" customFormat="1" customHeight="1" s="53"/>
    <row r="640" ht="12" customFormat="1" customHeight="1" s="10"/>
    <row r="641" hidden="1" ht="12" customFormat="1" customHeight="1" s="46"/>
    <row r="642" hidden="1" ht="12" customFormat="1" customHeight="1" s="10"/>
    <row r="643" hidden="1" ht="12" customFormat="1" customHeight="1" s="46"/>
    <row r="644" hidden="1" ht="12" customHeight="1" s="121"/>
    <row r="645" hidden="1" ht="12" customHeight="1" s="121"/>
    <row r="646" ht="12" customHeight="1" s="121"/>
    <row r="647" hidden="1" ht="12" customHeight="1" s="121"/>
    <row r="648" hidden="1" ht="12" customHeight="1" s="121"/>
    <row r="649" ht="12" customFormat="1" customHeight="1" s="46"/>
    <row r="650" hidden="1" ht="12" customHeight="1" s="121"/>
    <row r="651" hidden="1" ht="12" customHeight="1" s="121"/>
    <row r="652" ht="12" customHeight="1" s="121"/>
    <row r="653" hidden="1" ht="12" customHeight="1" s="121"/>
    <row r="654" hidden="1" ht="12" customFormat="1" customHeight="1" s="46"/>
    <row r="655" hidden="1" ht="12" customFormat="1" customHeight="1" s="42"/>
    <row r="656" ht="12" customFormat="1" customHeight="1" s="42"/>
    <row r="657" ht="12" customFormat="1" customHeight="1" s="42"/>
    <row r="658" ht="12" customFormat="1" customHeight="1" s="42"/>
    <row r="659" hidden="1" ht="12" customFormat="1" customHeight="1" s="42"/>
    <row r="660" hidden="1" ht="12" customFormat="1" customHeight="1" s="42"/>
    <row r="661" ht="12" customFormat="1" customHeight="1" s="42"/>
    <row r="662" ht="12" customFormat="1" customHeight="1" s="42"/>
    <row r="663" ht="12" customFormat="1" customHeight="1" s="42"/>
    <row r="664" hidden="1" ht="12" customHeight="1" s="121"/>
    <row r="665" ht="12" customFormat="1" customHeight="1" s="42"/>
    <row r="666" ht="12" customFormat="1" customHeight="1" s="42"/>
    <row r="667" hidden="1" ht="12" customFormat="1" customHeight="1" s="42"/>
    <row r="668" ht="12" customFormat="1" customHeight="1" s="42"/>
    <row r="669" hidden="1" ht="12" customFormat="1" customHeight="1" s="42"/>
    <row r="670" hidden="1" ht="12" customFormat="1" customHeight="1" s="42"/>
    <row r="671" hidden="1" ht="12" customFormat="1" customHeight="1" s="42"/>
    <row r="672" ht="12" customFormat="1" customHeight="1" s="42"/>
    <row r="673" ht="12" customFormat="1" customHeight="1" s="42"/>
    <row r="674" ht="12" customFormat="1" customHeight="1" s="42"/>
    <row r="675" hidden="1" ht="12" customFormat="1" customHeight="1" s="42"/>
    <row r="676" hidden="1" ht="12" customFormat="1" customHeight="1" s="42"/>
    <row r="677" ht="12" customFormat="1" customHeight="1" s="42"/>
    <row r="678" ht="12" customFormat="1" customHeight="1" s="42"/>
    <row r="679" ht="12" customFormat="1" customHeight="1" s="42"/>
    <row r="680" hidden="1" ht="12" customFormat="1" customHeight="1" s="42"/>
    <row r="681" ht="12" customFormat="1" customHeight="1" s="42"/>
    <row r="682" ht="12" customFormat="1" customHeight="1" s="42"/>
    <row r="683" ht="12" customFormat="1" customHeight="1" s="42"/>
    <row r="684" ht="12" customFormat="1" customHeight="1" s="42"/>
    <row r="685" ht="12" customFormat="1" customHeight="1" s="42"/>
    <row r="686" ht="12" customFormat="1" customHeight="1" s="42"/>
    <row r="687" ht="12" customFormat="1" customHeight="1" s="42"/>
    <row r="688" ht="12" customFormat="1" customHeight="1" s="42"/>
    <row r="689" ht="12" customFormat="1" customHeight="1" s="42"/>
    <row r="690" ht="12" customFormat="1" customHeight="1" s="42"/>
    <row r="691" ht="12" customFormat="1" customHeight="1" s="42"/>
    <row r="692" ht="12" customFormat="1" customHeight="1" s="42"/>
    <row r="693" ht="12" customFormat="1" customHeight="1" s="42"/>
    <row r="694" ht="12" customFormat="1" customHeight="1" s="42"/>
    <row r="695" ht="12" customFormat="1" customHeight="1" s="42"/>
    <row r="696" ht="12" customFormat="1" customHeight="1" s="42"/>
    <row r="697" ht="12" customFormat="1" customHeight="1" s="42"/>
    <row r="698" ht="12" customFormat="1" customHeight="1" s="42"/>
    <row r="699" ht="12" customFormat="1" customHeight="1" s="42"/>
    <row r="700" ht="12" customFormat="1" customHeight="1" s="42"/>
    <row r="701" ht="12" customFormat="1" customHeight="1" s="42"/>
    <row r="702" ht="12" customFormat="1" customHeight="1" s="42"/>
    <row r="703" ht="12" customFormat="1" customHeight="1" s="42"/>
    <row r="704" ht="12" customFormat="1" customHeight="1" s="42"/>
    <row r="705" ht="12" customFormat="1" customHeight="1" s="42"/>
    <row r="706" ht="12" customFormat="1" customHeight="1" s="42"/>
    <row r="707" ht="12" customFormat="1" customHeight="1" s="42"/>
    <row r="708" ht="12" customFormat="1" customHeight="1" s="42"/>
    <row r="709" ht="12" customFormat="1" customHeight="1" s="42"/>
    <row r="710" ht="12" customFormat="1" customHeight="1" s="42"/>
    <row r="711" ht="12" customFormat="1" customHeight="1" s="42"/>
    <row r="712" ht="12" customFormat="1" customHeight="1" s="42"/>
    <row r="713" ht="12" customFormat="1" customHeight="1" s="42"/>
    <row r="714" ht="12" customFormat="1" customHeight="1" s="42"/>
    <row r="715" ht="12" customFormat="1" customHeight="1" s="42"/>
    <row r="716" ht="12" customFormat="1" customHeight="1" s="42"/>
    <row r="717" ht="12" customFormat="1" customHeight="1" s="42"/>
    <row r="718" ht="12" customFormat="1" customHeight="1" s="42"/>
    <row r="719" ht="12" customFormat="1" customHeight="1" s="42"/>
    <row r="720" ht="12" customFormat="1" customHeight="1" s="42"/>
    <row r="721" ht="12" customFormat="1" customHeight="1" s="42"/>
    <row r="722" ht="12" customFormat="1" customHeight="1" s="42"/>
    <row r="723" ht="12" customFormat="1" customHeight="1" s="42"/>
    <row r="724" ht="12" customFormat="1" customHeight="1" s="42"/>
    <row r="725" ht="12" customFormat="1" customHeight="1" s="42"/>
    <row r="726" ht="12" customFormat="1" customHeight="1" s="42"/>
    <row r="727" ht="12" customFormat="1" customHeight="1" s="42"/>
    <row r="728" ht="12" customFormat="1" customHeight="1" s="42"/>
    <row r="729" ht="12" customFormat="1" customHeight="1" s="42"/>
    <row r="730" ht="12" customFormat="1" customHeight="1" s="42"/>
    <row r="731" ht="12" customFormat="1" customHeight="1" s="42"/>
    <row r="732" ht="12" customFormat="1" customHeight="1" s="42"/>
    <row r="733" ht="12" customFormat="1" customHeight="1" s="42"/>
    <row r="734" ht="12" customFormat="1" customHeight="1" s="42"/>
    <row r="735" ht="12" customFormat="1" customHeight="1" s="42"/>
    <row r="736" ht="12" customFormat="1" customHeight="1" s="42"/>
    <row r="737" ht="12" customFormat="1" customHeight="1" s="42"/>
    <row r="738" ht="12" customFormat="1" customHeight="1" s="42"/>
    <row r="739" ht="12" customFormat="1" customHeight="1" s="42"/>
    <row r="740" ht="12" customFormat="1" customHeight="1" s="42"/>
    <row r="741" ht="12" customFormat="1" customHeight="1" s="42"/>
    <row r="742" ht="12" customFormat="1" customHeight="1" s="42"/>
    <row r="743" ht="12" customFormat="1" customHeight="1" s="42"/>
    <row r="744" ht="12" customFormat="1" customHeight="1" s="42"/>
    <row r="745" ht="12" customFormat="1" customHeight="1" s="42"/>
    <row r="746" ht="12" customFormat="1" customHeight="1" s="42"/>
    <row r="747" ht="12" customFormat="1" customHeight="1" s="42"/>
    <row r="748" ht="12" customFormat="1" customHeight="1" s="42"/>
    <row r="749" ht="12" customFormat="1" customHeight="1" s="42"/>
    <row r="750" ht="12" customFormat="1" customHeight="1" s="42"/>
    <row r="751" ht="12" customFormat="1" customHeight="1" s="42"/>
    <row r="752" ht="12" customFormat="1" customHeight="1" s="42"/>
    <row r="753" ht="12" customFormat="1" customHeight="1" s="42"/>
    <row r="754" ht="12" customFormat="1" customHeight="1" s="42"/>
    <row r="755" ht="12" customFormat="1" customHeight="1" s="42"/>
    <row r="756" ht="12" customFormat="1" customHeight="1" s="42"/>
    <row r="757" ht="12" customFormat="1" customHeight="1" s="42"/>
    <row r="758" ht="12" customFormat="1" customHeight="1" s="42"/>
    <row r="759" ht="12" customFormat="1" customHeight="1" s="42"/>
    <row r="760" ht="12" customFormat="1" customHeight="1" s="42"/>
    <row r="761" ht="12" customFormat="1" customHeight="1" s="42"/>
    <row r="762" ht="12" customFormat="1" customHeight="1" s="42"/>
    <row r="763" ht="12" customFormat="1" customHeight="1" s="42"/>
    <row r="764" ht="12" customFormat="1" customHeight="1" s="42"/>
    <row r="765" ht="12" customFormat="1" customHeight="1" s="42"/>
    <row r="766" ht="12" customFormat="1" customHeight="1" s="42"/>
    <row r="767" ht="12" customFormat="1" customHeight="1" s="42"/>
    <row r="768" ht="12" customFormat="1" customHeight="1" s="42"/>
    <row r="769" ht="12" customFormat="1" customHeight="1" s="42"/>
    <row r="770" ht="12" customFormat="1" customHeight="1" s="42"/>
    <row r="771" ht="12" customFormat="1" customHeight="1" s="42"/>
    <row r="772" ht="12" customFormat="1" customHeight="1" s="42"/>
    <row r="773" ht="12" customFormat="1" customHeight="1" s="42"/>
    <row r="774" ht="12" customFormat="1" customHeight="1" s="42"/>
    <row r="775" ht="12" customFormat="1" customHeight="1" s="42"/>
    <row r="776" ht="12" customFormat="1" customHeight="1" s="42"/>
    <row r="777" ht="12" customFormat="1" customHeight="1" s="42"/>
    <row r="778" ht="12" customFormat="1" customHeight="1" s="42"/>
    <row r="779" ht="12" customFormat="1" customHeight="1" s="42"/>
    <row r="780" ht="12" customFormat="1" customHeight="1" s="42"/>
    <row r="781" ht="12" customFormat="1" customHeight="1" s="42"/>
    <row r="782" ht="12" customFormat="1" customHeight="1" s="42"/>
    <row r="783" ht="12" customFormat="1" customHeight="1" s="42"/>
    <row r="784" ht="12" customFormat="1" customHeight="1" s="42"/>
    <row r="785" ht="12" customFormat="1" customHeight="1" s="42"/>
    <row r="786" ht="12" customFormat="1" customHeight="1" s="42"/>
    <row r="787" ht="12" customFormat="1" customHeight="1" s="42"/>
    <row r="788" ht="12" customFormat="1" customHeight="1" s="42"/>
    <row r="789" ht="12" customFormat="1" customHeight="1" s="42"/>
    <row r="790" ht="12" customFormat="1" customHeight="1" s="42"/>
    <row r="791" ht="12" customFormat="1" customHeight="1" s="42"/>
    <row r="792" ht="12" customFormat="1" customHeight="1" s="42"/>
    <row r="793" ht="12" customFormat="1" customHeight="1" s="42"/>
    <row r="794" ht="12" customFormat="1" customHeight="1" s="42"/>
    <row r="795" ht="12" customFormat="1" customHeight="1" s="42"/>
    <row r="796" ht="12" customFormat="1" customHeight="1" s="42"/>
    <row r="797" ht="12" customFormat="1" customHeight="1" s="42"/>
    <row r="798" ht="12" customFormat="1" customHeight="1" s="42"/>
    <row r="799" ht="12" customFormat="1" customHeight="1" s="42"/>
    <row r="800" ht="12" customFormat="1" customHeight="1" s="42"/>
    <row r="801" ht="12" customFormat="1" customHeight="1" s="42"/>
    <row r="802" ht="12" customFormat="1" customHeight="1" s="42"/>
    <row r="803" ht="12" customFormat="1" customHeight="1" s="42"/>
    <row r="804" ht="12" customFormat="1" customHeight="1" s="42"/>
    <row r="805" ht="12" customFormat="1" customHeight="1" s="42"/>
    <row r="806" ht="12" customFormat="1" customHeight="1" s="42"/>
    <row r="807" ht="12" customFormat="1" customHeight="1" s="42"/>
    <row r="808" ht="12" customFormat="1" customHeight="1" s="42"/>
    <row r="809" ht="12" customFormat="1" customHeight="1" s="42"/>
    <row r="810" ht="12" customFormat="1" customHeight="1" s="42"/>
    <row r="811" ht="12" customFormat="1" customHeight="1" s="42"/>
    <row r="812" ht="12" customFormat="1" customHeight="1" s="42"/>
    <row r="813" ht="12" customFormat="1" customHeight="1" s="42"/>
    <row r="814" ht="12" customFormat="1" customHeight="1" s="42"/>
    <row r="815" ht="12" customFormat="1" customHeight="1" s="42"/>
    <row r="816" ht="12" customFormat="1" customHeight="1" s="42"/>
    <row r="817" ht="12" customFormat="1" customHeight="1" s="42"/>
    <row r="818" ht="12" customFormat="1" customHeight="1" s="42"/>
    <row r="819" ht="12" customFormat="1" customHeight="1" s="42"/>
    <row r="820" ht="12" customFormat="1" customHeight="1" s="42"/>
    <row r="821" ht="12" customFormat="1" customHeight="1" s="42"/>
    <row r="822" ht="12" customFormat="1" customHeight="1" s="42"/>
    <row r="823" ht="12" customFormat="1" customHeight="1" s="42"/>
    <row r="824" ht="12" customFormat="1" customHeight="1" s="42"/>
    <row r="825" ht="12" customFormat="1" customHeight="1" s="42"/>
    <row r="826" ht="12" customFormat="1" customHeight="1" s="42"/>
    <row r="827" ht="12" customFormat="1" customHeight="1" s="42"/>
    <row r="828" ht="12" customFormat="1" customHeight="1" s="42"/>
    <row r="829" ht="12" customFormat="1" customHeight="1" s="42"/>
    <row r="830" ht="12" customFormat="1" customHeight="1" s="42"/>
    <row r="831" ht="12" customFormat="1" customHeight="1" s="42"/>
    <row r="832" ht="12" customFormat="1" customHeight="1" s="42"/>
    <row r="833" ht="12" customFormat="1" customHeight="1" s="42"/>
    <row r="834" ht="12" customFormat="1" customHeight="1" s="42"/>
    <row r="835" ht="12" customFormat="1" customHeight="1" s="42"/>
    <row r="836" ht="12" customFormat="1" customHeight="1" s="42"/>
    <row r="837" ht="12" customFormat="1" customHeight="1" s="42"/>
    <row r="838" ht="12" customFormat="1" customHeight="1" s="42"/>
    <row r="839" ht="12" customFormat="1" customHeight="1" s="42"/>
    <row r="840" ht="12" customFormat="1" customHeight="1" s="42"/>
    <row r="841" ht="12" customFormat="1" customHeight="1" s="42"/>
    <row r="842" ht="12" customFormat="1" customHeight="1" s="42"/>
    <row r="843" ht="12" customFormat="1" customHeight="1" s="42"/>
    <row r="844" ht="12" customFormat="1" customHeight="1" s="42"/>
    <row r="845" ht="12" customFormat="1" customHeight="1" s="42"/>
    <row r="846" ht="12" customFormat="1" customHeight="1" s="42"/>
    <row r="847" ht="12" customFormat="1" customHeight="1" s="42"/>
    <row r="848" ht="12" customFormat="1" customHeight="1" s="42"/>
    <row r="849" ht="12" customFormat="1" customHeight="1" s="42"/>
    <row r="850" ht="12" customFormat="1" customHeight="1" s="42"/>
    <row r="851" ht="12" customFormat="1" customHeight="1" s="42"/>
    <row r="852" ht="12" customFormat="1" customHeight="1" s="42"/>
    <row r="853" ht="12" customFormat="1" customHeight="1" s="42"/>
    <row r="854" ht="12" customFormat="1" customHeight="1" s="42"/>
    <row r="855" ht="12" customFormat="1" customHeight="1" s="42"/>
    <row r="856" ht="12" customFormat="1" customHeight="1" s="42"/>
    <row r="857" ht="12" customFormat="1" customHeight="1" s="42"/>
    <row r="858" ht="12" customFormat="1" customHeight="1" s="42"/>
    <row r="859" ht="12" customFormat="1" customHeight="1" s="42"/>
    <row r="860" ht="12" customFormat="1" customHeight="1" s="42"/>
    <row r="861" ht="12" customFormat="1" customHeight="1" s="42"/>
    <row r="862" ht="12" customFormat="1" customHeight="1" s="42"/>
    <row r="863" ht="12" customFormat="1" customHeight="1" s="42"/>
    <row r="864" ht="12" customFormat="1" customHeight="1" s="42"/>
    <row r="865" ht="12" customFormat="1" customHeight="1" s="42"/>
    <row r="866" ht="12" customFormat="1" customHeight="1" s="42"/>
    <row r="867" ht="12" customFormat="1" customHeight="1" s="42"/>
    <row r="868" ht="12" customFormat="1" customHeight="1" s="42"/>
    <row r="869" ht="12" customFormat="1" customHeight="1" s="42"/>
    <row r="870" ht="12" customFormat="1" customHeight="1" s="42"/>
    <row r="871" ht="12" customFormat="1" customHeight="1" s="42"/>
    <row r="872" ht="12" customFormat="1" customHeight="1" s="42"/>
    <row r="873" ht="12" customFormat="1" customHeight="1" s="42"/>
    <row r="874" ht="12" customFormat="1" customHeight="1" s="42"/>
    <row r="875" ht="12" customFormat="1" customHeight="1" s="42"/>
    <row r="876" ht="12" customFormat="1" customHeight="1" s="42"/>
    <row r="877" ht="12" customFormat="1" customHeight="1" s="42"/>
    <row r="878" ht="12" customFormat="1" customHeight="1" s="42"/>
    <row r="879" ht="12" customFormat="1" customHeight="1" s="42"/>
    <row r="880" ht="12" customFormat="1" customHeight="1" s="42"/>
    <row r="881" ht="12" customFormat="1" customHeight="1" s="42"/>
    <row r="882" ht="12" customFormat="1" customHeight="1" s="42"/>
    <row r="883" ht="12" customFormat="1" customHeight="1" s="42"/>
    <row r="884" ht="12" customFormat="1" customHeight="1" s="42"/>
    <row r="885" ht="12" customFormat="1" customHeight="1" s="42"/>
    <row r="886" ht="12" customFormat="1" customHeight="1" s="42"/>
    <row r="887" ht="12" customFormat="1" customHeight="1" s="42"/>
    <row r="888" ht="12" customFormat="1" customHeight="1" s="42"/>
    <row r="889" ht="12" customFormat="1" customHeight="1" s="75"/>
    <row r="890" ht="12" customFormat="1" customHeight="1" s="75"/>
    <row r="891" ht="12" customFormat="1" customHeight="1" s="75"/>
    <row r="892" ht="12" customFormat="1" customHeight="1" s="75"/>
    <row r="893" ht="12" customFormat="1" customHeight="1" s="75"/>
    <row r="894" ht="12" customFormat="1" customHeight="1" s="75"/>
    <row r="895" ht="12" customFormat="1" customHeight="1" s="75"/>
    <row r="896" ht="12" customFormat="1" customHeight="1" s="75"/>
    <row r="897" ht="12" customFormat="1" customHeight="1" s="75"/>
    <row r="898" ht="12" customFormat="1" customHeight="1" s="75"/>
    <row r="899" ht="12" customFormat="1" customHeight="1" s="75"/>
    <row r="900" ht="12" customFormat="1" customHeight="1" s="42"/>
    <row r="901" ht="12" customFormat="1" customHeight="1" s="42"/>
    <row r="902" ht="12" customFormat="1" customHeight="1" s="42"/>
    <row r="903" ht="12" customFormat="1" customHeight="1" s="42"/>
    <row r="904" ht="12" customFormat="1" customHeight="1" s="42"/>
    <row r="905" ht="12" customFormat="1" customHeight="1" s="42"/>
    <row r="906" ht="12" customFormat="1" customHeight="1" s="42"/>
    <row r="907" ht="12" customFormat="1" customHeight="1" s="42"/>
    <row r="908" ht="12" customFormat="1" customHeight="1" s="42"/>
    <row r="909" ht="12" customFormat="1" customHeight="1" s="42"/>
    <row r="910" ht="12" customFormat="1" customHeight="1" s="42"/>
    <row r="911" ht="12" customFormat="1" customHeight="1" s="42"/>
    <row r="912" ht="12" customFormat="1" customHeight="1" s="42"/>
    <row r="913" ht="12" customFormat="1" customHeight="1" s="42"/>
    <row r="914" ht="12" customFormat="1" customHeight="1" s="42"/>
    <row r="915" ht="12" customFormat="1" customHeight="1" s="42"/>
    <row r="916" ht="12" customFormat="1" customHeight="1" s="42"/>
    <row r="917" ht="12" customFormat="1" customHeight="1" s="42"/>
    <row r="918" ht="12" customFormat="1" customHeight="1" s="42"/>
    <row r="919" ht="12" customFormat="1" customHeight="1" s="42"/>
    <row r="920" ht="12" customFormat="1" customHeight="1" s="42"/>
    <row r="921" ht="12" customFormat="1" customHeight="1" s="42"/>
    <row r="922" ht="12" customFormat="1" customHeight="1" s="42"/>
    <row r="923" ht="12" customFormat="1" customHeight="1" s="42"/>
    <row r="924" ht="12" customFormat="1" customHeight="1" s="42"/>
    <row r="925" ht="12" customFormat="1" customHeight="1" s="42"/>
    <row r="926" ht="12" customFormat="1" customHeight="1" s="77"/>
    <row r="927" ht="12" customFormat="1" customHeight="1" s="42"/>
    <row r="928" ht="12" customFormat="1" customHeight="1" s="42"/>
    <row r="929" ht="12" customFormat="1" customHeight="1" s="42"/>
    <row r="930" ht="12" customFormat="1" customHeight="1" s="42"/>
    <row r="931" ht="12" customFormat="1" customHeight="1" s="42"/>
    <row r="932" ht="12" customFormat="1" customHeight="1" s="42"/>
    <row r="933" ht="12" customFormat="1" customHeight="1" s="42"/>
    <row r="934" ht="12" customFormat="1" customHeight="1" s="42"/>
    <row r="935" ht="12" customFormat="1" customHeight="1" s="42"/>
    <row r="936" ht="12" customFormat="1" customHeight="1" s="42"/>
    <row r="937" ht="12" customFormat="1" customHeight="1" s="42"/>
    <row r="938" ht="12" customFormat="1" customHeight="1" s="42"/>
    <row r="939" ht="12" customFormat="1" customHeight="1" s="42"/>
    <row r="940" ht="12" customFormat="1" customHeight="1" s="42"/>
    <row r="941" ht="12" customFormat="1" customHeight="1" s="42"/>
    <row r="942" ht="12" customFormat="1" customHeight="1" s="42"/>
    <row r="943" ht="12" customFormat="1" customHeight="1" s="42"/>
    <row r="944" ht="12" customFormat="1" customHeight="1" s="42"/>
    <row r="945" ht="12" customFormat="1" customHeight="1" s="42"/>
    <row r="946" ht="12" customFormat="1" customHeight="1" s="42"/>
    <row r="947" ht="12" customFormat="1" customHeight="1" s="42"/>
    <row r="948" ht="12" customFormat="1" customHeight="1" s="42"/>
    <row r="949" ht="12" customFormat="1" customHeight="1" s="42"/>
    <row r="950" ht="12" customFormat="1" customHeight="1" s="42"/>
    <row r="951" ht="12" customFormat="1" customHeight="1" s="42"/>
    <row r="952" ht="12" customFormat="1" customHeight="1" s="42"/>
    <row r="953" ht="12" customFormat="1" customHeight="1" s="42"/>
    <row r="954" ht="12" customFormat="1" customHeight="1" s="42"/>
    <row r="955" ht="12" customFormat="1" customHeight="1" s="42"/>
    <row r="956" ht="12" customFormat="1" customHeight="1" s="42"/>
    <row r="957" ht="12" customFormat="1" customHeight="1" s="42"/>
    <row r="958" ht="12" customFormat="1" customHeight="1" s="42"/>
    <row r="959" ht="12" customFormat="1" customHeight="1" s="42"/>
    <row r="960" ht="12" customFormat="1" customHeight="1" s="42"/>
    <row r="961" ht="12" customFormat="1" customHeight="1" s="42"/>
    <row r="962" ht="12" customFormat="1" customHeight="1" s="42"/>
    <row r="963" ht="12" customFormat="1" customHeight="1" s="42"/>
    <row r="964" ht="12" customFormat="1" customHeight="1" s="42"/>
    <row r="965" ht="12" customFormat="1" customHeight="1" s="42"/>
    <row r="966" ht="12.6" customFormat="1" customHeight="1" s="46"/>
    <row r="967" ht="12.6" customFormat="1" customHeight="1" s="46"/>
    <row r="968" ht="12.6" customFormat="1" customHeight="1" s="46"/>
    <row r="969" ht="12.6" customFormat="1" customHeight="1" s="46"/>
    <row r="970" ht="12.6" customFormat="1" customHeight="1" s="46"/>
    <row r="971" ht="12.6" customFormat="1" customHeight="1" s="46"/>
    <row r="972" ht="12.6" customFormat="1" customHeight="1" s="46"/>
    <row r="973" ht="12.6" customFormat="1" customHeight="1" s="46"/>
    <row r="974" ht="12.6" customFormat="1" customHeight="1" s="46"/>
    <row r="975" ht="12.6" customFormat="1" customHeight="1" s="46"/>
    <row r="976" ht="12.6" customFormat="1" customHeight="1" s="46"/>
    <row r="977" ht="12.6" customFormat="1" customHeight="1" s="46"/>
    <row r="978" ht="12.6" customFormat="1" customHeight="1" s="46"/>
    <row r="979" ht="12.6" customFormat="1" customHeight="1" s="46"/>
    <row r="980" ht="12.6" customFormat="1" customHeight="1" s="46"/>
    <row r="981" ht="12.6" customFormat="1" customHeight="1" s="46"/>
    <row r="982" ht="12.6" customFormat="1" customHeight="1" s="46"/>
    <row r="983" ht="12.6" customFormat="1" customHeight="1" s="46"/>
    <row r="984" ht="12.6" customFormat="1" customHeight="1" s="46"/>
    <row r="985" ht="12.6" customFormat="1" customHeight="1" s="46"/>
    <row r="986" ht="12.6" customFormat="1" customHeight="1" s="46"/>
    <row r="987" ht="12.6" customFormat="1" customHeight="1" s="46"/>
    <row r="988" ht="12.6" customFormat="1" customHeight="1" s="46"/>
    <row r="989" ht="12.6" customFormat="1" customHeight="1" s="46"/>
    <row r="990" ht="12.6" customFormat="1" customHeight="1" s="46"/>
    <row r="991" ht="12.6" customFormat="1" customHeight="1" s="46"/>
    <row r="992" ht="12.6" customFormat="1" customHeight="1" s="46"/>
    <row r="993" ht="12.6" customFormat="1" customHeight="1" s="46"/>
    <row r="994" ht="12.6" customFormat="1" customHeight="1" s="46"/>
    <row r="995" ht="12.6" customFormat="1" customHeight="1" s="46"/>
    <row r="996" ht="12.6" customFormat="1" customHeight="1" s="46"/>
    <row r="997" ht="12.6" customFormat="1" customHeight="1" s="46"/>
    <row r="998" ht="12.6" customFormat="1" customHeight="1" s="46"/>
    <row r="999" ht="12.6" customFormat="1" customHeight="1" s="46"/>
    <row r="1000" ht="12.6" customFormat="1" customHeight="1" s="46"/>
    <row r="1001" ht="12.6" customFormat="1" customHeight="1" s="46"/>
    <row r="1002" ht="12.6" customFormat="1" customHeight="1" s="46"/>
    <row r="1003" ht="12.6" customFormat="1" customHeight="1" s="46"/>
    <row r="1004" ht="12.6" customFormat="1" customHeight="1" s="46"/>
    <row r="1005" ht="12.6" customFormat="1" customHeight="1" s="46"/>
    <row r="1006" ht="12.6" customFormat="1" customHeight="1" s="46"/>
    <row r="1007" ht="12.6" customFormat="1" customHeight="1" s="46"/>
    <row r="1008" ht="12.6" customFormat="1" customHeight="1" s="46"/>
    <row r="1009" ht="12.6" customFormat="1" customHeight="1" s="46"/>
    <row r="1010" ht="12.6" customFormat="1" customHeight="1" s="46"/>
    <row r="1011" ht="12.6" customFormat="1" customHeight="1" s="46"/>
    <row r="1012" ht="12.6" customFormat="1" customHeight="1" s="46"/>
    <row r="1013" ht="12.6" customFormat="1" customHeight="1" s="46"/>
    <row r="1014" ht="12.6" customFormat="1" customHeight="1" s="46"/>
    <row r="1015" ht="12.6" customFormat="1" customHeight="1" s="46"/>
    <row r="1016" ht="12.6" customFormat="1" customHeight="1" s="46"/>
    <row r="1017" ht="12.6" customFormat="1" customHeight="1" s="46"/>
    <row r="1018" ht="12.6" customFormat="1" customHeight="1" s="46"/>
    <row r="1019" ht="12.6" customFormat="1" customHeight="1" s="46"/>
    <row r="1020" ht="12.6" customFormat="1" customHeight="1" s="46"/>
    <row r="1021" ht="12.6" customFormat="1" customHeight="1" s="46"/>
    <row r="1022" ht="12.6" customFormat="1" customHeight="1" s="46"/>
    <row r="1023" ht="12.6" customFormat="1" customHeight="1" s="46"/>
    <row r="1024" ht="12.6" customFormat="1" customHeight="1" s="46"/>
    <row r="1025" ht="12.6" customFormat="1" customHeight="1" s="46"/>
    <row r="1026" ht="12.6" customFormat="1" customHeight="1" s="46"/>
    <row r="1027" ht="12.6" customFormat="1" customHeight="1" s="46"/>
    <row r="1028" ht="12.6" customFormat="1" customHeight="1" s="46"/>
    <row r="1029" ht="12.6" customFormat="1" customHeight="1" s="46"/>
    <row r="1030" ht="12.6" customFormat="1" customHeight="1" s="46"/>
    <row r="1031" ht="12.6" customFormat="1" customHeight="1" s="46"/>
    <row r="1032" ht="12.6" customFormat="1" customHeight="1" s="46"/>
    <row r="1033" ht="12.6" customFormat="1" customHeight="1" s="46"/>
    <row r="1034" ht="12.6" customFormat="1" customHeight="1" s="46"/>
    <row r="1035" ht="12.6" customFormat="1" customHeight="1" s="46"/>
    <row r="1036" ht="12.6" customFormat="1" customHeight="1" s="46"/>
    <row r="1037" ht="12.6" customFormat="1" customHeight="1" s="46"/>
    <row r="1038" ht="12.6" customFormat="1" customHeight="1" s="46"/>
    <row r="1039" ht="12.6" customFormat="1" customHeight="1" s="46"/>
    <row r="1040" ht="12.6" customFormat="1" customHeight="1" s="46"/>
    <row r="1041" ht="12.6" customFormat="1" customHeight="1" s="46"/>
    <row r="1042" ht="12.6" customFormat="1" customHeight="1" s="46"/>
    <row r="1043" ht="12.6" customFormat="1" customHeight="1" s="46"/>
    <row r="1044" ht="12.6" customFormat="1" customHeight="1" s="46"/>
    <row r="1045" ht="12.6" customFormat="1" customHeight="1" s="46"/>
    <row r="1046" ht="12.6" customFormat="1" customHeight="1" s="46"/>
    <row r="1047" ht="12.6" customFormat="1" customHeight="1" s="46"/>
    <row r="1048" ht="12.6" customFormat="1" customHeight="1" s="46"/>
    <row r="1049" ht="12.6" customFormat="1" customHeight="1" s="46"/>
    <row r="1050" ht="12.6" customFormat="1" customHeight="1" s="46"/>
    <row r="1051" ht="12.6" customFormat="1" customHeight="1" s="46"/>
    <row r="1052" ht="12.6" customFormat="1" customHeight="1" s="46"/>
    <row r="1053" ht="12.6" customFormat="1" customHeight="1" s="46"/>
    <row r="1054" ht="12.6" customFormat="1" customHeight="1" s="46"/>
    <row r="1055" ht="12.6" customFormat="1" customHeight="1" s="46"/>
    <row r="1056" ht="12.6" customFormat="1" customHeight="1" s="46"/>
    <row r="1057" ht="12.6" customFormat="1" customHeight="1" s="46"/>
    <row r="1058" ht="12.6" customFormat="1" customHeight="1" s="46"/>
    <row r="1059" ht="12.6" customFormat="1" customHeight="1" s="46"/>
    <row r="1060" ht="12.6" customFormat="1" customHeight="1" s="46"/>
    <row r="1061" ht="12.6" customFormat="1" customHeight="1" s="46"/>
    <row r="1062" ht="12.6" customFormat="1" customHeight="1" s="46"/>
    <row r="1063" ht="12.6" customFormat="1" customHeight="1" s="46"/>
    <row r="1064" ht="12.6" customFormat="1" customHeight="1" s="46"/>
    <row r="1065" ht="12.6" customFormat="1" customHeight="1" s="46"/>
    <row r="1066" ht="12.6" customFormat="1" customHeight="1" s="46"/>
    <row r="1067" ht="12.6" customFormat="1" customHeight="1" s="46"/>
    <row r="1068" ht="12.6" customFormat="1" customHeight="1" s="46"/>
    <row r="1069" ht="12.6" customFormat="1" customHeight="1" s="46"/>
    <row r="1070" ht="12.6" customFormat="1" customHeight="1" s="46"/>
    <row r="1071" ht="12.6" customFormat="1" customHeight="1" s="46"/>
    <row r="1072" ht="12.6" customFormat="1" customHeight="1" s="46"/>
    <row r="1073" ht="12.6" customFormat="1" customHeight="1" s="46"/>
    <row r="1074" ht="12.6" customFormat="1" customHeight="1" s="46"/>
    <row r="1075" ht="12.6" customFormat="1" customHeight="1" s="46"/>
    <row r="1076" ht="12.6" customFormat="1" customHeight="1" s="46"/>
    <row r="1077" ht="12.6" customFormat="1" customHeight="1" s="46"/>
    <row r="1078" ht="12.6" customFormat="1" customHeight="1" s="46"/>
    <row r="1079" ht="12.6" customFormat="1" customHeight="1" s="46"/>
    <row r="1080" ht="12.6" customFormat="1" customHeight="1" s="46"/>
    <row r="1081" ht="12.6" customFormat="1" customHeight="1" s="46"/>
    <row r="1082" ht="12.6" customFormat="1" customHeight="1" s="46"/>
    <row r="1083" ht="12.6" customFormat="1" customHeight="1" s="46"/>
    <row r="1084" ht="12.6" customFormat="1" customHeight="1" s="46"/>
    <row r="1085" ht="12.6" customFormat="1" customHeight="1" s="46"/>
    <row r="1086" ht="12.6" customFormat="1" customHeight="1" s="46"/>
    <row r="1087" ht="12.6" customFormat="1" customHeight="1" s="46"/>
    <row r="1088" ht="12.6" customFormat="1" customHeight="1" s="46"/>
    <row r="1089" ht="12.6" customFormat="1" customHeight="1" s="46"/>
    <row r="1090" ht="12.6" customFormat="1" customHeight="1" s="46"/>
    <row r="1091" ht="12.6" customFormat="1" customHeight="1" s="46"/>
    <row r="1092" ht="12.6" customFormat="1" customHeight="1" s="46"/>
    <row r="1093" ht="12.6" customFormat="1" customHeight="1" s="46"/>
    <row r="1094" ht="12.6" customFormat="1" customHeight="1" s="46"/>
    <row r="1095" ht="12.6" customFormat="1" customHeight="1" s="46"/>
    <row r="1096" ht="12.6" customFormat="1" customHeight="1" s="46"/>
    <row r="1097" ht="12.6" customFormat="1" customHeight="1" s="46"/>
    <row r="1098" ht="12.6" customFormat="1" customHeight="1" s="46"/>
    <row r="1099" ht="12.6" customFormat="1" customHeight="1" s="46"/>
    <row r="1100" ht="12.6" customFormat="1" customHeight="1" s="46"/>
    <row r="1101" ht="12.6" customFormat="1" customHeight="1" s="46"/>
    <row r="1102" ht="12.6" customFormat="1" customHeight="1" s="46"/>
    <row r="1103" ht="12.6" customFormat="1" customHeight="1" s="46"/>
    <row r="1104" ht="12.6" customFormat="1" customHeight="1" s="46"/>
    <row r="1105" ht="12.6" customFormat="1" customHeight="1" s="46"/>
    <row r="1106" ht="12.6" customFormat="1" customHeight="1" s="46"/>
    <row r="1107" ht="12.6" customFormat="1" customHeight="1" s="46"/>
    <row r="1108" ht="12.6" customFormat="1" customHeight="1" s="46"/>
    <row r="1109" ht="12.6" customFormat="1" customHeight="1" s="46"/>
    <row r="1110" ht="12.6" customFormat="1" customHeight="1" s="46"/>
    <row r="1111" ht="12.6" customFormat="1" customHeight="1" s="46"/>
    <row r="1112" ht="12.6" customFormat="1" customHeight="1" s="46"/>
    <row r="1113" ht="12.6" customFormat="1" customHeight="1" s="46"/>
    <row r="1114" ht="12.6" customFormat="1" customHeight="1" s="46"/>
    <row r="1115" ht="12.6" customFormat="1" customHeight="1" s="46"/>
    <row r="1116" ht="12.6" customFormat="1" customHeight="1" s="46"/>
    <row r="1117" ht="12.6" customFormat="1" customHeight="1" s="46"/>
    <row r="1118" ht="12.6" customFormat="1" customHeight="1" s="46"/>
    <row r="1119" ht="12.6" customFormat="1" customHeight="1" s="46"/>
    <row r="1120" ht="12.6" customFormat="1" customHeight="1" s="46"/>
    <row r="1121" ht="12.6" customFormat="1" customHeight="1" s="46"/>
    <row r="1122" ht="12.6" customFormat="1" customHeight="1" s="46"/>
    <row r="1123" ht="12.6" customFormat="1" customHeight="1" s="46"/>
    <row r="1124" ht="12.6" customFormat="1" customHeight="1" s="46"/>
    <row r="1125" ht="12.6" customFormat="1" customHeight="1" s="46"/>
    <row r="1126" ht="12.6" customFormat="1" customHeight="1" s="46"/>
    <row r="1127" ht="12.6" customFormat="1" customHeight="1" s="46"/>
    <row r="1128" ht="12.6" customFormat="1" customHeight="1" s="46"/>
    <row r="1129" ht="12.6" customFormat="1" customHeight="1" s="46"/>
    <row r="1130" ht="12.6" customFormat="1" customHeight="1" s="46"/>
    <row r="1131" ht="12.6" customFormat="1" customHeight="1" s="46"/>
    <row r="1132" ht="12.6" customFormat="1" customHeight="1" s="46"/>
    <row r="1133" ht="12.6" customFormat="1" customHeight="1" s="46"/>
    <row r="1134" ht="12.6" customFormat="1" customHeight="1" s="46"/>
    <row r="1135" ht="12.6" customFormat="1" customHeight="1" s="46"/>
    <row r="1136" ht="12.6" customFormat="1" customHeight="1" s="46"/>
    <row r="1137" ht="12.6" customFormat="1" customHeight="1" s="46"/>
    <row r="1138" ht="12.6" customFormat="1" customHeight="1" s="46"/>
    <row r="1139" ht="12.6" customFormat="1" customHeight="1" s="46"/>
    <row r="1140" ht="12.6" customFormat="1" customHeight="1" s="46"/>
    <row r="1141" ht="12.6" customFormat="1" customHeight="1" s="46"/>
    <row r="1142" ht="12.6" customFormat="1" customHeight="1" s="46"/>
    <row r="1143" ht="12.6" customFormat="1" customHeight="1" s="46"/>
    <row r="1144" ht="12.6" customFormat="1" customHeight="1" s="46"/>
    <row r="1145" ht="12.6" customFormat="1" customHeight="1" s="46"/>
    <row r="1146" ht="12.6" customFormat="1" customHeight="1" s="46"/>
    <row r="1147" ht="12.6" customFormat="1" customHeight="1" s="46"/>
    <row r="1148" ht="12.6" customFormat="1" customHeight="1" s="46"/>
    <row r="1149" ht="12.6" customFormat="1" customHeight="1" s="46"/>
    <row r="1150" ht="12.6" customFormat="1" customHeight="1" s="46"/>
    <row r="1151" ht="12.6" customFormat="1" customHeight="1" s="46"/>
    <row r="1152" ht="12.6" customFormat="1" customHeight="1" s="46"/>
    <row r="1153" ht="12.6" customFormat="1" customHeight="1" s="46"/>
    <row r="1154" ht="12.6" customFormat="1" customHeight="1" s="46"/>
    <row r="1155" ht="12.6" customFormat="1" customHeight="1" s="46"/>
    <row r="1156" ht="12" customHeight="1" s="121"/>
    <row r="1157" ht="12" customHeight="1" s="121"/>
    <row r="1158" ht="12" customHeight="1" s="121"/>
    <row r="1159" ht="12" customHeight="1" s="121"/>
    <row r="1160" ht="12" customHeight="1" s="121"/>
    <row r="1161" ht="12" customHeight="1" s="121"/>
    <row r="1162" ht="12" customHeight="1" s="121"/>
    <row r="1163" ht="12" customHeight="1" s="121"/>
    <row r="1164" ht="12" customHeight="1" s="121"/>
    <row r="1165" ht="12" customHeight="1" s="121"/>
    <row r="1166" ht="12" customHeight="1" s="121"/>
    <row r="1167" ht="12" customHeight="1" s="121"/>
    <row r="1168" ht="12" customHeight="1" s="121"/>
    <row r="1169" ht="12" customHeight="1" s="121"/>
    <row r="1170" ht="12" customHeight="1" s="121"/>
    <row r="1171" ht="12" customHeight="1" s="121"/>
    <row r="1172" ht="12" customHeight="1" s="121"/>
    <row r="1173" ht="12" customHeight="1" s="121"/>
    <row r="1174" ht="12" customFormat="1" customHeight="1" s="46"/>
    <row r="1175" ht="12" customFormat="1" customHeight="1" s="46"/>
    <row r="1176" ht="12" customFormat="1" customHeight="1" s="46"/>
    <row r="1177" ht="12" customHeight="1" s="121"/>
    <row r="1178" ht="12" customHeight="1" s="121"/>
    <row r="1179" ht="12" customHeight="1" s="121"/>
    <row r="1180" ht="12" customHeight="1" s="121"/>
    <row r="1181" ht="12" customHeight="1" s="121"/>
    <row r="1182" ht="12" customHeight="1" s="121"/>
    <row r="1183" ht="12" customHeight="1" s="121"/>
    <row r="1184" ht="12" customHeight="1" s="121"/>
    <row r="1185" ht="12" customHeight="1" s="121"/>
    <row r="1186" ht="12" customHeight="1" s="121"/>
    <row r="1187" ht="12" customHeight="1" s="121"/>
    <row r="1188" ht="12" customHeight="1" s="121"/>
    <row r="1189" ht="12" customHeight="1" s="121"/>
    <row r="1190" ht="12" customHeight="1" s="121"/>
    <row r="1191" ht="12" customHeight="1" s="121"/>
    <row r="1192" ht="12" customHeight="1" s="121"/>
    <row r="1193" ht="12" customHeight="1" s="121"/>
    <row r="1194" ht="12" customFormat="1" customHeight="1" s="46"/>
    <row r="1195" ht="12" customHeight="1" s="121"/>
    <row r="1196" ht="12" customHeight="1" s="121"/>
    <row r="1197" ht="12" customHeight="1" s="121"/>
    <row r="1198" ht="12" customHeight="1" s="121"/>
    <row r="1199" ht="12" customHeight="1" s="121"/>
    <row r="1200" ht="12" customHeight="1" s="121"/>
    <row r="1201" ht="12" customHeight="1" s="121"/>
    <row r="1202" ht="12" customHeight="1" s="121"/>
    <row r="1203" ht="12" customHeight="1" s="121"/>
    <row r="1204" ht="12" customHeight="1" s="121"/>
    <row r="1205" ht="12" customHeight="1" s="121"/>
    <row r="1206" ht="12" customFormat="1" customHeight="1" s="46"/>
    <row r="1207" ht="12" customFormat="1" customHeight="1" s="46"/>
    <row r="1208" ht="12" customFormat="1" customHeight="1" s="46"/>
    <row r="1209" ht="12" customFormat="1" customHeight="1" s="46"/>
    <row r="1210" ht="12" customFormat="1" customHeight="1" s="46"/>
    <row r="1211" ht="12" customFormat="1" customHeight="1" s="46"/>
    <row r="1212" ht="12" customFormat="1" customHeight="1" s="46"/>
    <row r="1213" ht="12" customFormat="1" customHeight="1" s="46"/>
    <row r="1214" ht="12" customFormat="1" customHeight="1" s="46"/>
    <row r="1215" ht="12" customFormat="1" customHeight="1" s="46"/>
    <row r="1216" ht="12" customFormat="1" customHeight="1" s="46"/>
    <row r="1217" ht="12" customFormat="1" customHeight="1" s="46"/>
    <row r="1218" ht="12" customFormat="1" customHeight="1" s="46"/>
    <row r="1219" ht="12" customFormat="1" customHeight="1" s="46"/>
    <row r="1220" ht="12" customFormat="1" customHeight="1" s="46"/>
    <row r="1221" ht="12" customFormat="1" customHeight="1" s="46"/>
    <row r="1222" ht="12" customFormat="1" customHeight="1" s="46"/>
    <row r="1223" ht="12" customFormat="1" customHeight="1" s="46"/>
    <row r="1224" ht="12" customFormat="1" customHeight="1" s="46"/>
    <row r="1225" ht="12" customFormat="1" customHeight="1" s="46"/>
    <row r="1226" ht="12" customFormat="1" customHeight="1" s="46"/>
    <row r="1227" ht="12" customFormat="1" customHeight="1" s="46"/>
    <row r="1228" ht="12" customFormat="1" customHeight="1" s="46"/>
    <row r="1229" ht="12" customFormat="1" customHeight="1" s="46"/>
    <row r="1230" ht="12" customFormat="1" customHeight="1" s="46"/>
    <row r="1231" ht="12" customFormat="1" customHeight="1" s="46"/>
    <row r="1232" ht="12" customFormat="1" customHeight="1" s="46"/>
    <row r="1233" ht="12" customFormat="1" customHeight="1" s="46"/>
    <row r="1234" ht="12" customFormat="1" customHeight="1" s="46"/>
    <row r="1235" ht="12" customFormat="1" customHeight="1" s="46"/>
    <row r="1236" ht="12" customFormat="1" customHeight="1" s="46"/>
    <row r="1237" ht="12" customFormat="1" customHeight="1" s="46"/>
    <row r="1238" ht="12" customFormat="1" customHeight="1" s="46"/>
    <row r="1239" ht="12" customFormat="1" customHeight="1" s="46"/>
    <row r="1240" ht="12" customFormat="1" customHeight="1" s="46"/>
    <row r="1241" ht="12" customFormat="1" customHeight="1" s="46"/>
    <row r="1242" ht="12" customFormat="1" customHeight="1" s="46"/>
    <row r="1243" ht="12" customFormat="1" customHeight="1" s="46"/>
    <row r="1244" ht="12" customFormat="1" customHeight="1" s="46"/>
    <row r="1245" ht="12" customFormat="1" customHeight="1" s="46"/>
    <row r="1246" ht="12" customFormat="1" customHeight="1" s="46"/>
    <row r="1247" ht="12" customFormat="1" customHeight="1" s="46"/>
    <row r="1248" ht="12" customFormat="1" customHeight="1" s="46"/>
    <row r="1249" ht="12" customFormat="1" customHeight="1" s="46"/>
    <row r="1250" ht="12" customFormat="1" customHeight="1" s="46"/>
    <row r="1251" ht="12" customFormat="1" customHeight="1" s="10"/>
    <row r="1252" ht="12" customFormat="1" customHeight="1" s="46"/>
    <row r="1253" ht="12" customFormat="1" customHeight="1" s="46"/>
    <row r="1254" ht="12" customFormat="1" customHeight="1" s="46"/>
    <row r="1255" ht="12" customFormat="1" customHeight="1" s="46"/>
    <row r="1256" ht="12" customFormat="1" customHeight="1" s="46"/>
    <row r="1257" ht="12" customFormat="1" customHeight="1" s="46"/>
    <row r="1258" ht="12" customFormat="1" customHeight="1" s="46"/>
    <row r="1259" ht="12" customFormat="1" customHeight="1" s="46"/>
    <row r="1260" ht="12" customFormat="1" customHeight="1" s="46"/>
    <row r="1261" ht="12" customFormat="1" customHeight="1" s="46"/>
    <row r="1262" ht="12" customFormat="1" customHeight="1" s="46"/>
    <row r="1263" ht="12" customFormat="1" customHeight="1" s="46"/>
    <row r="1264" ht="12" customFormat="1" customHeight="1" s="46"/>
    <row r="1265" ht="12" customFormat="1" customHeight="1" s="46"/>
    <row r="1266" ht="12" customFormat="1" customHeight="1" s="46"/>
    <row r="1267" ht="12" customFormat="1" customHeight="1" s="46"/>
    <row r="1268" ht="12" customFormat="1" customHeight="1" s="46"/>
    <row r="1269" ht="12" customFormat="1" customHeight="1" s="46"/>
    <row r="1270" ht="12" customFormat="1" customHeight="1" s="46"/>
    <row r="1271" ht="12" customFormat="1" customHeight="1" s="46"/>
    <row r="1272" ht="12" customFormat="1" customHeight="1" s="46"/>
    <row r="1273" ht="12" customFormat="1" customHeight="1" s="46"/>
    <row r="1274" ht="12" customFormat="1" customHeight="1" s="46"/>
    <row r="1275" ht="12" customFormat="1" customHeight="1" s="46"/>
    <row r="1276" ht="12" customFormat="1" customHeight="1" s="46"/>
    <row r="1277" ht="12" customFormat="1" customHeight="1" s="46"/>
    <row r="1278" ht="12" customFormat="1" customHeight="1" s="46"/>
    <row r="1279" ht="12" customFormat="1" customHeight="1" s="46"/>
    <row r="1280" ht="12" customFormat="1" customHeight="1" s="46"/>
    <row r="1281" ht="12" customFormat="1" customHeight="1" s="46"/>
    <row r="1282" ht="12" customFormat="1" customHeight="1" s="46"/>
    <row r="1283" ht="12" customFormat="1" customHeight="1" s="46"/>
    <row r="1284" ht="12" customFormat="1" customHeight="1" s="46"/>
    <row r="1285" ht="12" customFormat="1" customHeight="1" s="46"/>
    <row r="1286" ht="12" customFormat="1" customHeight="1" s="46"/>
    <row r="1287" ht="12" customFormat="1" customHeight="1" s="46"/>
    <row r="1288" ht="12" customFormat="1" customHeight="1" s="46"/>
    <row r="1289" ht="12" customFormat="1" customHeight="1" s="46"/>
    <row r="1290" ht="12" customFormat="1" customHeight="1" s="46"/>
    <row r="1291" ht="12" customFormat="1" customHeight="1" s="46"/>
    <row r="1292" ht="12" customFormat="1" customHeight="1" s="46"/>
    <row r="1293" ht="12" customFormat="1" customHeight="1" s="46"/>
    <row r="1294" ht="12" customFormat="1" customHeight="1" s="46"/>
    <row r="1295" ht="12" customFormat="1" customHeight="1" s="46"/>
    <row r="1296" ht="12" customFormat="1" customHeight="1" s="46"/>
    <row r="1297" ht="12" customFormat="1" customHeight="1" s="46"/>
    <row r="1298" ht="12" customFormat="1" customHeight="1" s="46"/>
    <row r="1299" ht="12" customFormat="1" customHeight="1" s="46"/>
    <row r="1300" ht="12" customFormat="1" customHeight="1" s="46"/>
    <row r="1301" ht="12" customFormat="1" customHeight="1" s="46"/>
    <row r="1302" ht="12" customFormat="1" customHeight="1" s="46"/>
    <row r="1303" ht="12" customFormat="1" customHeight="1" s="46"/>
    <row r="1304" ht="12" customFormat="1" customHeight="1" s="46"/>
    <row r="1305" ht="12" customFormat="1" customHeight="1" s="46"/>
    <row r="1306" ht="12" customFormat="1" customHeight="1" s="46"/>
    <row r="1307" ht="12" customFormat="1" customHeight="1" s="46"/>
    <row r="1308" ht="12" customFormat="1" customHeight="1" s="46"/>
    <row r="1309" ht="12" customFormat="1" customHeight="1" s="46"/>
    <row r="1310" ht="12" customFormat="1" customHeight="1" s="53"/>
    <row r="1311" ht="12" customFormat="1" customHeight="1" s="10"/>
    <row r="1312" ht="12" customFormat="1" customHeight="1" s="10"/>
    <row r="1313" ht="12" customFormat="1" customHeight="1" s="10"/>
    <row r="1314" ht="12" customFormat="1" customHeight="1" s="10"/>
    <row r="1315" ht="12" customFormat="1" customHeight="1" s="10"/>
    <row r="1316" ht="12" customFormat="1" customHeight="1" s="10"/>
    <row r="1317" ht="12" customHeight="1" s="121"/>
    <row r="1318" ht="12" customHeight="1" s="121"/>
    <row r="1319" ht="12" customHeight="1" s="121"/>
    <row r="1320" ht="12" customHeight="1" s="121"/>
    <row r="1321" ht="12" customFormat="1" customHeight="1" s="46"/>
    <row r="1322" ht="12" customHeight="1" s="121"/>
    <row r="1323" ht="12" customHeight="1" s="121"/>
    <row r="1324" ht="12" customHeight="1" s="121"/>
    <row r="1325" ht="12" customHeight="1" s="121"/>
    <row r="1326" ht="12" customHeight="1" s="121"/>
    <row r="1327" ht="12" customFormat="1" customHeight="1" s="10"/>
    <row r="1328" ht="12" customHeight="1" s="121"/>
    <row r="1329" ht="12" customHeight="1" s="121"/>
    <row r="1330" ht="12" customHeight="1" s="121"/>
    <row r="1331" ht="12" customHeight="1" s="121"/>
    <row r="1332" ht="12" customHeight="1" s="121"/>
    <row r="1333" ht="12" customHeight="1" s="121"/>
    <row r="1334" ht="12" customHeight="1" s="121"/>
    <row r="1335" ht="12" customHeight="1" s="121"/>
    <row r="1336" ht="12" customHeight="1" s="121"/>
    <row r="1337" ht="12" customHeight="1" s="121"/>
    <row r="1338" ht="12" customFormat="1" customHeight="1" s="10"/>
    <row r="1339" ht="12" customHeight="1" s="121"/>
    <row r="1340" ht="12" customHeight="1" s="121"/>
    <row r="1341" ht="12" customHeight="1" s="121"/>
    <row r="1342" ht="12" customHeight="1" s="121"/>
    <row r="1343" ht="12" customHeight="1" s="121"/>
    <row r="1344" ht="12" customHeight="1" s="121"/>
    <row r="1345" ht="12" customHeight="1" s="121"/>
    <row r="1346" ht="12" customHeight="1" s="121"/>
    <row r="1347" ht="12" customHeight="1" s="121"/>
    <row r="1348" ht="12" customHeight="1" s="121"/>
    <row r="1349" ht="12" customFormat="1" customHeight="1" s="10"/>
    <row r="1350" ht="12" customHeight="1" s="121"/>
    <row r="1351" ht="12" customHeight="1" s="121"/>
    <row r="1352" ht="12" customHeight="1" s="121"/>
    <row r="1353" ht="12" customHeight="1" s="121"/>
    <row r="1354" ht="12" customHeight="1" s="121"/>
    <row r="1355" ht="12" customHeight="1" s="121"/>
    <row r="1356" ht="12" customHeight="1" s="121"/>
    <row r="1357" ht="12" customHeight="1" s="121"/>
    <row r="1358" ht="12" customHeight="1" s="121"/>
    <row r="1359" ht="12" customHeight="1" s="121"/>
    <row r="1360" ht="12" customHeight="1" s="121"/>
    <row r="1361" ht="12" customHeight="1" s="121"/>
    <row r="1362" ht="12" customHeight="1" s="121"/>
    <row r="1363" ht="12" customHeight="1" s="121"/>
    <row r="1364" ht="12" customHeight="1" s="121"/>
    <row r="1365" ht="12" customHeight="1" s="121"/>
    <row r="1366" ht="12" customHeight="1" s="121"/>
    <row r="1367" ht="12" customHeight="1" s="121"/>
    <row r="1368" ht="12" customHeight="1" s="121"/>
    <row r="1369" ht="12" customHeight="1" s="121"/>
    <row r="1370" ht="12" customHeight="1" s="121"/>
    <row r="1371" ht="12" customHeight="1" s="121"/>
    <row r="1372" ht="12" customHeight="1" s="121"/>
    <row r="1373" ht="12" customHeight="1" s="121"/>
    <row r="1374" ht="12" customHeight="1" s="121"/>
    <row r="1375" ht="12" customHeight="1" s="121"/>
    <row r="1376" ht="12" customHeight="1" s="121"/>
    <row r="1377" ht="12" customHeight="1" s="121"/>
    <row r="1378" ht="12" customHeight="1" s="121"/>
    <row r="1379" ht="12" customHeight="1" s="121"/>
    <row r="1380" ht="12" customHeight="1" s="121"/>
    <row r="1381" ht="12" customHeight="1" s="121"/>
    <row r="1382" ht="12" customHeight="1" s="121"/>
    <row r="1383" ht="12" customHeight="1" s="121"/>
    <row r="1384" ht="12" customHeight="1" s="121"/>
    <row r="1385" ht="12" customHeight="1" s="121"/>
    <row r="1386" ht="12" customHeight="1" s="121"/>
    <row r="1387" ht="12" customHeight="1" s="121"/>
    <row r="1388" ht="12" customHeight="1" s="121"/>
    <row r="1389" ht="12" customHeight="1" s="121"/>
    <row r="1390" ht="12" customHeight="1" s="121"/>
    <row r="1391" ht="12" customHeight="1" s="121"/>
    <row r="1392" ht="12" customHeight="1" s="121"/>
    <row r="1393" ht="12" customHeight="1" s="121"/>
    <row r="1394" ht="12" customHeight="1" s="121"/>
    <row r="1395" ht="12" customHeight="1" s="121"/>
    <row r="1396" ht="12" customHeight="1" s="121"/>
    <row r="1397" ht="12" customHeight="1" s="121"/>
    <row r="1398" ht="12" customHeight="1" s="121"/>
    <row r="1399" ht="12" customHeight="1" s="121"/>
    <row r="1400" ht="12" customHeight="1" s="121"/>
    <row r="1401" ht="12" customHeight="1" s="121"/>
    <row r="1402" ht="12" customHeight="1" s="121"/>
    <row r="1403" ht="12" customHeight="1" s="121"/>
    <row r="1404" ht="12" customHeight="1" s="121"/>
    <row r="1405" ht="12" customFormat="1" customHeight="1" s="46"/>
    <row r="1406" ht="12" customHeight="1" s="121"/>
    <row r="1407" ht="12" customHeight="1" s="121"/>
    <row r="1408" ht="12" customHeight="1" s="121"/>
    <row r="1409" ht="12" customHeight="1" s="121"/>
    <row r="1410" ht="12" customHeight="1" s="121"/>
    <row r="1411" ht="12" customHeight="1" s="121"/>
    <row r="1412" ht="12" customHeight="1" s="121"/>
    <row r="1413" ht="12" customHeight="1" s="121"/>
    <row r="1414" ht="12" customHeight="1" s="121"/>
    <row r="1415" ht="12" customHeight="1" s="121"/>
    <row r="1416" ht="12" customHeight="1" s="121"/>
    <row r="1417" ht="12" customHeight="1" s="121"/>
    <row r="1418" ht="12" customHeight="1" s="121"/>
    <row r="1419" ht="12" customHeight="1" s="121"/>
    <row r="1420" ht="12" customHeight="1" s="121"/>
    <row r="1421" ht="12" customHeight="1" s="121"/>
    <row r="1422" ht="12" customHeight="1" s="121"/>
    <row r="1423" ht="12" customHeight="1" s="121"/>
    <row r="1424" ht="12" customHeight="1" s="121"/>
    <row r="1425" ht="12" customHeight="1" s="121"/>
    <row r="1426" ht="12" customHeight="1" s="121"/>
    <row r="1427" ht="12" customHeight="1" s="121"/>
    <row r="1428" ht="12" customHeight="1" s="121"/>
    <row r="1429" ht="12" customHeight="1" s="121"/>
    <row r="1430" ht="12" customHeight="1" s="121"/>
    <row r="1431" ht="12" customHeight="1" s="121"/>
    <row r="1432" ht="12" customHeight="1" s="121"/>
    <row r="1433" ht="12" customHeight="1" s="121"/>
    <row r="1434" ht="12" customHeight="1" s="121"/>
    <row r="1435" ht="12" customHeight="1" s="121"/>
    <row r="1436" ht="12" customFormat="1" customHeight="1" s="10"/>
    <row r="1437" ht="12" customFormat="1" customHeight="1" s="46"/>
    <row r="1438" ht="12" customHeight="1" s="121"/>
    <row r="1439" ht="12" customHeight="1" s="121"/>
    <row r="1440" ht="12" customHeight="1" s="121"/>
    <row r="1441" ht="12" customHeight="1" s="121"/>
    <row r="1442" ht="12" customHeight="1" s="121"/>
    <row r="1443" ht="12" customHeight="1" s="121"/>
    <row r="1444" ht="12" customHeight="1" s="121"/>
    <row r="1445" ht="12" customHeight="1" s="121"/>
    <row r="1446" ht="12" customHeight="1" s="121"/>
    <row r="1447" ht="12" customHeight="1" s="121"/>
    <row r="1448" ht="12" customHeight="1" s="121"/>
    <row r="1449" ht="12" customHeight="1" s="121"/>
    <row r="1450" ht="12" customHeight="1" s="121"/>
    <row r="1451" ht="12" customFormat="1" customHeight="1" s="46"/>
    <row r="1452" ht="12" customFormat="1" customHeight="1" s="42"/>
    <row r="1453" ht="12" customFormat="1" customHeight="1" s="42"/>
    <row r="1454" ht="12" customFormat="1" customHeight="1" s="42"/>
    <row r="1455" ht="12" customFormat="1" customHeight="1" s="42"/>
    <row r="1456" ht="12" customFormat="1" customHeight="1" s="42"/>
    <row r="1457" ht="12" customFormat="1" customHeight="1" s="42"/>
    <row r="1458" ht="12" customFormat="1" customHeight="1" s="42"/>
    <row r="1459" ht="12" customFormat="1" customHeight="1" s="42"/>
    <row r="1460" ht="12" customFormat="1" customHeight="1" s="42"/>
    <row r="1461" ht="12" customFormat="1" customHeight="1" s="42"/>
    <row r="1462" ht="12" customFormat="1" customHeight="1" s="42"/>
    <row r="1463" ht="12" customFormat="1" customHeight="1" s="42"/>
    <row r="1464" ht="12" customFormat="1" customHeight="1" s="42"/>
    <row r="1465" ht="12" customFormat="1" customHeight="1" s="42"/>
    <row r="1466" ht="12" customFormat="1" customHeight="1" s="42"/>
    <row r="1467" ht="12" customFormat="1" customHeight="1" s="42"/>
    <row r="1468" ht="12" customFormat="1" customHeight="1" s="42"/>
    <row r="1469" ht="12" customFormat="1" customHeight="1" s="42"/>
    <row r="1470" ht="12" customFormat="1" customHeight="1" s="42"/>
    <row r="1471" ht="12" customFormat="1" customHeight="1" s="42"/>
    <row r="1472" ht="12" customFormat="1" customHeight="1" s="42"/>
    <row r="1473" ht="12" customFormat="1" customHeight="1" s="42"/>
    <row r="1474" ht="12" customFormat="1" customHeight="1" s="42"/>
    <row r="1475" ht="12" customFormat="1" customHeight="1" s="42"/>
    <row r="1476" ht="12" customFormat="1" customHeight="1" s="42"/>
    <row r="1477" ht="12" customFormat="1" customHeight="1" s="42"/>
    <row r="1478" ht="12" customFormat="1" customHeight="1" s="42"/>
    <row r="1479" ht="12" customFormat="1" customHeight="1" s="42"/>
    <row r="1480" ht="12" customFormat="1" customHeight="1" s="42"/>
    <row r="1481" ht="12" customFormat="1" customHeight="1" s="42"/>
    <row r="1482" ht="12" customHeight="1" s="121"/>
    <row r="1483" ht="12" customHeight="1" s="121"/>
    <row r="1484" ht="12" customHeight="1" s="121"/>
    <row r="1485" ht="12" customHeight="1" s="121"/>
    <row r="1486" ht="12" customHeight="1" s="121"/>
    <row r="1487" ht="12" customHeight="1" s="121"/>
    <row r="1488" ht="12" customHeight="1" s="121"/>
    <row r="1489" ht="12" customHeight="1" s="121"/>
    <row r="1490" ht="12" customHeight="1" s="121"/>
    <row r="1491" ht="12" customHeight="1" s="121"/>
    <row r="1492" ht="12" customHeight="1" s="121"/>
    <row r="1493" ht="12" customHeight="1" s="121"/>
    <row r="1494" ht="12" customHeight="1" s="121"/>
    <row r="1495" ht="12" customHeight="1" s="121"/>
    <row r="1496" ht="12" customHeight="1" s="121"/>
    <row r="1497" ht="12" customHeight="1" s="121"/>
    <row r="1498" ht="12" customHeight="1" s="121"/>
    <row r="1499" ht="12" customHeight="1" s="121"/>
    <row r="1500" ht="12" customHeight="1" s="121"/>
    <row r="1501" ht="12" customHeight="1" s="121"/>
    <row r="1502" ht="12" customHeight="1" s="121"/>
    <row r="1503" ht="12" customHeight="1" s="121"/>
    <row r="1504" ht="12" customHeight="1" s="121"/>
    <row r="1505" ht="12" customHeight="1" s="121"/>
    <row r="1506" ht="12" customHeight="1" s="121"/>
    <row r="1507" ht="12" customHeight="1" s="121"/>
    <row r="1508" ht="12" customHeight="1" s="121"/>
    <row r="1509" ht="12" customHeight="1" s="121"/>
    <row r="1510" ht="12" customHeight="1" s="121"/>
    <row r="1511" ht="12" customHeight="1" s="121"/>
    <row r="1512" ht="12" customHeight="1" s="121"/>
    <row r="1513" ht="12" customHeight="1" s="121"/>
    <row r="1514" ht="12" customHeight="1" s="121"/>
    <row r="1515" ht="12" customHeight="1" s="121"/>
    <row r="1516" ht="12" customHeight="1" s="121"/>
    <row r="1517" ht="12" customHeight="1" s="121"/>
    <row r="1518" ht="12" customHeight="1" s="121"/>
    <row r="1519" ht="12" customHeight="1" s="121"/>
    <row r="1520" ht="12" customHeight="1" s="121"/>
    <row r="1521" ht="12" customHeight="1" s="121"/>
    <row r="1522" ht="12" customHeight="1" s="121"/>
    <row r="1523" ht="12" customHeight="1" s="121"/>
    <row r="1524" ht="12" customHeight="1" s="121"/>
    <row r="1525" ht="12" customHeight="1" s="121"/>
    <row r="1526" ht="12" customHeight="1" s="121"/>
    <row r="1527" ht="12" customHeight="1" s="121"/>
    <row r="1528" ht="12" customHeight="1" s="121"/>
    <row r="1529" ht="12" customHeight="1" s="121"/>
    <row r="1530" ht="12" customHeight="1" s="121"/>
    <row r="1531" ht="12" customHeight="1" s="121"/>
    <row r="1532" ht="12" customHeight="1" s="121"/>
    <row r="1533" ht="12" customHeight="1" s="121"/>
    <row r="1534" ht="12" customHeight="1" s="121"/>
    <row r="1535" ht="12" customHeight="1" s="121"/>
    <row r="1536" ht="12" customHeight="1" s="121"/>
    <row r="1537" ht="12" customHeight="1" s="121"/>
    <row r="1538" ht="12" customHeight="1" s="121"/>
    <row r="1539" ht="12" customHeight="1" s="121"/>
    <row r="1540" ht="12" customHeight="1" s="121"/>
    <row r="1541" ht="12" customHeight="1" s="121"/>
    <row r="1542" ht="12" customHeight="1" s="121"/>
    <row r="1543" ht="12" customHeight="1" s="121"/>
    <row r="1544" ht="12" customHeight="1" s="121"/>
    <row r="1545" ht="12" customHeight="1" s="121"/>
    <row r="1546" ht="12" customHeight="1" s="121"/>
    <row r="1547" ht="12" customHeight="1" s="121"/>
    <row r="1548" ht="12" customHeight="1" s="121"/>
    <row r="1549" ht="12" customHeight="1" s="121"/>
    <row r="1550" ht="12" customHeight="1" s="121"/>
    <row r="1551" ht="12" customHeight="1" s="121"/>
    <row r="1552" ht="12" customHeight="1" s="121"/>
    <row r="1553" ht="12" customHeight="1" s="121"/>
    <row r="1554" ht="12" customHeight="1" s="121"/>
    <row r="1555" ht="12" customHeight="1" s="121"/>
    <row r="1556" ht="12" customHeight="1" s="121"/>
    <row r="1557" ht="12" customHeight="1" s="121"/>
    <row r="1558" ht="12" customHeight="1" s="121"/>
    <row r="1559" ht="12" customHeight="1" s="121"/>
    <row r="1560" ht="12" customHeight="1" s="121"/>
    <row r="1561" ht="12" customHeight="1" s="121"/>
    <row r="1562" ht="12" customHeight="1" s="121"/>
    <row r="1563" ht="12" customHeight="1" s="121"/>
    <row r="1564" ht="12" customHeight="1" s="121"/>
    <row r="1565" ht="12" customHeight="1" s="121"/>
    <row r="1566" ht="12" customHeight="1" s="121"/>
    <row r="1567" ht="12" customHeight="1" s="121"/>
    <row r="1568" ht="12" customHeight="1" s="121"/>
    <row r="1569" ht="12" customHeight="1" s="121"/>
    <row r="1570" ht="12" customHeight="1" s="121"/>
    <row r="1571" ht="12" customHeight="1" s="121"/>
    <row r="1572" ht="12" customHeight="1" s="121"/>
    <row r="1573" ht="12" customHeight="1" s="121"/>
    <row r="1574" ht="12" customHeight="1" s="121"/>
    <row r="1575" ht="12" customHeight="1" s="121"/>
    <row r="1576" ht="12" customHeight="1" s="121"/>
    <row r="1577" ht="12" customHeight="1" s="121"/>
    <row r="1578" ht="12" customHeight="1" s="121"/>
    <row r="1579" ht="12" customHeight="1" s="121"/>
    <row r="1580" ht="12" customHeight="1" s="121"/>
    <row r="1581" ht="12" customHeight="1" s="121"/>
    <row r="1582" ht="12" customHeight="1" s="121"/>
    <row r="1583" ht="12" customHeight="1" s="121"/>
    <row r="1584" ht="12" customHeight="1" s="121"/>
    <row r="1585" ht="12" customHeight="1" s="121"/>
    <row r="1586" ht="12" customHeight="1" s="121"/>
    <row r="1587" ht="12" customHeight="1" s="121"/>
    <row r="1588" ht="12" customHeight="1" s="121"/>
    <row r="1589" ht="12" customHeight="1" s="121"/>
    <row r="1590" ht="12" customHeight="1" s="121"/>
    <row r="1591" ht="12" customHeight="1" s="121"/>
    <row r="1592" ht="12" customHeight="1" s="121"/>
    <row r="1593" ht="12" customHeight="1" s="121"/>
    <row r="1594" ht="12" customHeight="1" s="121"/>
    <row r="1595" ht="12" customHeight="1" s="121"/>
    <row r="1596" ht="12" customHeight="1" s="121"/>
    <row r="1597" ht="12" customHeight="1" s="121"/>
    <row r="1598" ht="12" customHeight="1" s="121"/>
    <row r="1599" ht="12" customHeight="1" s="121"/>
    <row r="1600" ht="12" customHeight="1" s="121"/>
    <row r="1601" ht="12" customHeight="1" s="121"/>
    <row r="1602" ht="12" customHeight="1" s="121"/>
    <row r="1603" ht="12" customHeight="1" s="121"/>
    <row r="1604" ht="12" customHeight="1" s="121"/>
    <row r="1605" ht="12" customHeight="1" s="121"/>
    <row r="1606" ht="12" customHeight="1" s="121"/>
    <row r="1607" ht="12" customHeight="1" s="121"/>
    <row r="1608" ht="12" customHeight="1" s="121"/>
    <row r="1609" ht="12" customHeight="1" s="121"/>
    <row r="1610" ht="12" customHeight="1" s="121"/>
    <row r="1611" ht="12" customHeight="1" s="121"/>
    <row r="1612" ht="12" customHeight="1" s="121"/>
    <row r="1613" ht="12" customHeight="1" s="121"/>
    <row r="1614" ht="12" customHeight="1" s="121"/>
    <row r="1615" ht="12" customHeight="1" s="121"/>
    <row r="1616" ht="12" customHeight="1" s="121"/>
    <row r="1617" ht="12" customHeight="1" s="121"/>
    <row r="1618" ht="12" customHeight="1" s="121"/>
    <row r="1619" ht="12" customHeight="1" s="121"/>
    <row r="1620" ht="12" customHeight="1" s="121"/>
    <row r="1621" ht="12" customHeight="1" s="121"/>
    <row r="1622" ht="12" customHeight="1" s="121"/>
    <row r="1623" ht="12" customHeight="1" s="121"/>
    <row r="1624" ht="12" customHeight="1" s="121"/>
    <row r="1625" ht="12" customHeight="1" s="121"/>
    <row r="1626" ht="12" customHeight="1" s="121"/>
    <row r="1627" ht="12" customHeight="1" s="121"/>
    <row r="1628" ht="12" customHeight="1" s="121"/>
    <row r="1629" ht="12" customHeight="1" s="121"/>
    <row r="1630" ht="12" customHeight="1" s="121"/>
    <row r="1631" ht="12" customHeight="1" s="121"/>
    <row r="1632" ht="12" customHeight="1" s="121"/>
    <row r="1633" ht="12" customHeight="1" s="121"/>
    <row r="1634" ht="12" customHeight="1" s="121"/>
    <row r="1635" ht="12" customHeight="1" s="121"/>
    <row r="1636" ht="12" customHeight="1" s="121"/>
    <row r="1637" ht="12" customHeight="1" s="121"/>
    <row r="1638" ht="12" customHeight="1" s="121"/>
    <row r="1639" ht="12" customHeight="1" s="121"/>
    <row r="1640" ht="12" customHeight="1" s="121"/>
    <row r="1641" ht="12" customHeight="1" s="121"/>
    <row r="1642" ht="12" customHeight="1" s="121"/>
    <row r="1643" ht="12" customHeight="1" s="121"/>
    <row r="1644" ht="12" customHeight="1" s="121"/>
    <row r="1645" ht="12" customHeight="1" s="121"/>
    <row r="1646" ht="12" customHeight="1" s="121"/>
    <row r="1647" ht="12" customHeight="1" s="121"/>
    <row r="1648" ht="12" customHeight="1" s="121"/>
    <row r="1649" ht="12" customHeight="1" s="121"/>
    <row r="1650" ht="12" customHeight="1" s="121"/>
    <row r="1651" ht="12" customHeight="1" s="121"/>
    <row r="1652" ht="12" customHeight="1" s="121"/>
    <row r="1653" ht="12" customHeight="1" s="121"/>
    <row r="1654" ht="12" customHeight="1" s="121"/>
    <row r="1655" ht="12" customHeight="1" s="121"/>
    <row r="1656" ht="12" customHeight="1" s="121"/>
    <row r="1657" ht="12" customHeight="1" s="121"/>
    <row r="1658" ht="12" customHeight="1" s="121"/>
    <row r="1659" ht="12" customHeight="1" s="121"/>
    <row r="1660" ht="12" customHeight="1" s="121"/>
    <row r="1661" ht="12" customHeight="1" s="121"/>
    <row r="1662" ht="12" customHeight="1" s="121"/>
    <row r="1663" ht="12" customHeight="1" s="121"/>
    <row r="1664" ht="12" customHeight="1" s="121"/>
    <row r="1665" ht="12" customHeight="1" s="121"/>
    <row r="1666" ht="12" customHeight="1" s="121"/>
    <row r="1667" ht="12" customHeight="1" s="121"/>
    <row r="1668" ht="12" customHeight="1" s="121"/>
    <row r="1669" ht="12" customHeight="1" s="121"/>
    <row r="1670" ht="12" customHeight="1" s="121"/>
    <row r="1671" ht="12" customHeight="1" s="121"/>
    <row r="1672" ht="12" customHeight="1" s="121"/>
    <row r="1673" ht="12" customHeight="1" s="121"/>
    <row r="1674" ht="12" customHeight="1" s="121"/>
    <row r="1675" ht="12" customHeight="1" s="121"/>
    <row r="1676" ht="12" customHeight="1" s="121"/>
    <row r="1677" ht="12" customHeight="1" s="121"/>
    <row r="1678" ht="12" customHeight="1" s="121"/>
    <row r="1679" ht="12" customHeight="1" s="121"/>
    <row r="1680" ht="12" customHeight="1" s="121"/>
    <row r="1681" ht="12" customHeight="1" s="121"/>
    <row r="1682" ht="12" customHeight="1" s="121"/>
    <row r="1683" ht="12" customHeight="1" s="121"/>
    <row r="1684" ht="12" customHeight="1" s="121"/>
    <row r="1685" ht="12" customHeight="1" s="121"/>
    <row r="1686" ht="12" customHeight="1" s="121"/>
    <row r="1687" ht="12" customHeight="1" s="121"/>
    <row r="1688" ht="12" customHeight="1" s="121"/>
    <row r="1689" ht="12" customHeight="1" s="121"/>
    <row r="1690" ht="12" customHeight="1" s="121"/>
    <row r="1691" ht="12" customHeight="1" s="121"/>
    <row r="1692" ht="12" customHeight="1" s="121"/>
    <row r="1693" ht="12" customHeight="1" s="121"/>
    <row r="1694" ht="12" customHeight="1" s="121"/>
    <row r="1695" ht="12" customHeight="1" s="121"/>
    <row r="1696" ht="12" customHeight="1" s="121"/>
    <row r="1697" ht="12" customHeight="1" s="121"/>
    <row r="1698" ht="12" customHeight="1" s="121"/>
    <row r="1699" ht="12" customHeight="1" s="121"/>
    <row r="1700" ht="12" customHeight="1" s="121"/>
    <row r="1701" ht="12" customHeight="1" s="121"/>
    <row r="1702" ht="12" customHeight="1" s="121"/>
    <row r="1703" ht="12" customHeight="1" s="121"/>
    <row r="1704" ht="12" customHeight="1" s="121"/>
    <row r="1705" ht="12" customHeight="1" s="121"/>
    <row r="1706" ht="12" customHeight="1" s="121"/>
    <row r="1707" ht="12" customHeight="1" s="121"/>
    <row r="1708" ht="12" customHeight="1" s="121"/>
    <row r="1709" ht="12" customHeight="1" s="121"/>
    <row r="1710" ht="12" customHeight="1" s="121"/>
    <row r="1711" ht="12" customHeight="1" s="121"/>
    <row r="1712" ht="12" customHeight="1" s="121"/>
    <row r="1713" ht="12" customHeight="1" s="121"/>
    <row r="1714" ht="12" customHeight="1" s="121"/>
    <row r="1715" ht="12" customHeight="1" s="121"/>
    <row r="1716" ht="12" customHeight="1" s="121"/>
    <row r="1717" ht="12" customHeight="1" s="121"/>
    <row r="1718" ht="12" customHeight="1" s="121"/>
    <row r="1719" ht="12" customHeight="1" s="121"/>
    <row r="1720" ht="12" customHeight="1" s="121"/>
    <row r="1721" ht="12" customHeight="1" s="121"/>
    <row r="1722" ht="12" customHeight="1" s="121"/>
    <row r="1723" ht="12" customHeight="1" s="121"/>
    <row r="1724" ht="12" customHeight="1" s="121"/>
    <row r="1725" ht="12" customHeight="1" s="121"/>
    <row r="1726" ht="12" customHeight="1" s="121"/>
    <row r="1727" ht="12" customHeight="1" s="121"/>
    <row r="1728" ht="12" customHeight="1" s="121"/>
    <row r="1729" ht="12" customHeight="1" s="121"/>
    <row r="1730" ht="12" customHeight="1" s="121"/>
    <row r="1731" ht="12" customHeight="1" s="121"/>
    <row r="1732" ht="12" customHeight="1" s="121"/>
    <row r="1733" ht="12" customHeight="1" s="121"/>
    <row r="1734" ht="12" customHeight="1" s="121"/>
    <row r="1735" ht="12" customHeight="1" s="121"/>
    <row r="1736" ht="12" customHeight="1" s="121"/>
    <row r="1737" ht="12" customHeight="1" s="121"/>
    <row r="1738" ht="12" customHeight="1" s="121"/>
    <row r="1739" ht="12" customHeight="1" s="121"/>
    <row r="1740" ht="12" customHeight="1" s="121"/>
    <row r="1741" ht="12" customHeight="1" s="121"/>
    <row r="1742" ht="12" customHeight="1" s="121"/>
    <row r="1743" ht="12" customHeight="1" s="121"/>
    <row r="1744" ht="12" customHeight="1" s="121"/>
    <row r="1745" ht="12" customHeight="1" s="121"/>
    <row r="1746" ht="12" customHeight="1" s="121"/>
    <row r="1747" ht="12" customHeight="1" s="121"/>
    <row r="1748" ht="12" customHeight="1" s="121"/>
    <row r="1749" ht="12" customHeight="1" s="121"/>
    <row r="1750" ht="12" customHeight="1" s="121"/>
    <row r="1751" ht="12" customHeight="1" s="121"/>
    <row r="1752" ht="12" customHeight="1" s="121"/>
    <row r="1753" ht="12" customHeight="1" s="121"/>
    <row r="1754" ht="12" customHeight="1" s="121"/>
    <row r="1755" ht="12" customHeight="1" s="121"/>
    <row r="1756" ht="12" customHeight="1" s="121"/>
    <row r="1757" ht="12" customHeight="1" s="121"/>
    <row r="1758" ht="12" customHeight="1" s="121"/>
    <row r="1759" ht="12" customHeight="1" s="121"/>
    <row r="1760" ht="12" customHeight="1" s="121"/>
    <row r="1761" ht="12" customHeight="1" s="121"/>
    <row r="1762" ht="12" customHeight="1" s="121"/>
    <row r="1763" ht="12" customHeight="1" s="121"/>
    <row r="1764" ht="12" customHeight="1" s="121"/>
    <row r="1765" ht="12" customHeight="1" s="121"/>
    <row r="1766" ht="12" customHeight="1" s="121"/>
    <row r="1767" ht="12" customHeight="1" s="121"/>
    <row r="1768" ht="12" customHeight="1" s="121"/>
    <row r="1769" ht="12" customHeight="1" s="121"/>
    <row r="1770" ht="12" customHeight="1" s="121"/>
    <row r="1771" ht="12" customHeight="1" s="121"/>
    <row r="1772" ht="12" customHeight="1" s="121"/>
    <row r="1773" ht="12" customHeight="1" s="121"/>
    <row r="1774" ht="12" customHeight="1" s="121"/>
    <row r="1775" ht="12" customHeight="1" s="121"/>
    <row r="1776" ht="12" customHeight="1" s="121"/>
    <row r="1777" ht="12" customHeight="1" s="121"/>
    <row r="1778" ht="12" customHeight="1" s="121"/>
    <row r="1779" ht="12" customHeight="1" s="121"/>
    <row r="1780" ht="12" customHeight="1" s="121"/>
    <row r="1781" ht="12" customHeight="1" s="121"/>
    <row r="1782" ht="12" customHeight="1" s="121"/>
    <row r="1783" ht="12" customHeight="1" s="121"/>
    <row r="1784" ht="12" customHeight="1" s="121"/>
    <row r="1785" ht="12" customHeight="1" s="121"/>
    <row r="1786" ht="12" customHeight="1" s="121"/>
    <row r="1787" ht="12" customHeight="1" s="121"/>
    <row r="1788" ht="12" customHeight="1" s="121"/>
    <row r="1789" ht="12" customHeight="1" s="121"/>
    <row r="1790" ht="12" customHeight="1" s="121"/>
    <row r="1791" ht="12" customHeight="1" s="121"/>
    <row r="1792" ht="12" customHeight="1" s="121"/>
    <row r="1793" ht="12" customHeight="1" s="121"/>
    <row r="1794" ht="12" customHeight="1" s="121"/>
    <row r="1795" ht="12" customHeight="1" s="121"/>
    <row r="1796" ht="12" customHeight="1" s="121"/>
    <row r="1797" ht="12" customHeight="1" s="121"/>
    <row r="1798" ht="12" customHeight="1" s="121"/>
    <row r="1799" ht="12" customHeight="1" s="121"/>
    <row r="1800" ht="12" customHeight="1" s="121"/>
    <row r="1801" ht="12" customHeight="1" s="121"/>
    <row r="1802" ht="12" customHeight="1" s="121"/>
    <row r="1803" ht="12" customHeight="1" s="121"/>
    <row r="1804" ht="12" customHeight="1" s="121"/>
    <row r="1805" ht="12" customHeight="1" s="121"/>
    <row r="1806" ht="12" customHeight="1" s="121"/>
    <row r="1807" ht="12" customHeight="1" s="121"/>
    <row r="1808" ht="12" customHeight="1" s="121"/>
    <row r="1809" ht="12" customHeight="1" s="121"/>
    <row r="1810" ht="12" customHeight="1" s="121"/>
    <row r="1811" ht="12" customHeight="1" s="121"/>
    <row r="1812" ht="12" customHeight="1" s="121"/>
    <row r="1813" ht="12" customHeight="1" s="121"/>
    <row r="1814" ht="12" customHeight="1" s="121"/>
    <row r="1815" ht="12" customHeight="1" s="121"/>
    <row r="1816" ht="12" customHeight="1" s="121"/>
    <row r="1817" ht="12" customHeight="1" s="121"/>
    <row r="1818" ht="12" customHeight="1" s="121"/>
    <row r="1819" ht="12" customHeight="1" s="121"/>
    <row r="1820" ht="12" customHeight="1" s="121"/>
    <row r="1821" ht="12" customHeight="1" s="121"/>
    <row r="1822" ht="12" customHeight="1" s="121"/>
    <row r="1823" ht="12" customHeight="1" s="121"/>
    <row r="1824" ht="12" customHeight="1" s="121"/>
    <row r="1825" ht="12" customHeight="1" s="121"/>
    <row r="1826" ht="12" customHeight="1" s="121"/>
    <row r="1827" ht="12" customHeight="1" s="121"/>
    <row r="1828" ht="12" customHeight="1" s="121"/>
    <row r="1829" ht="12" customHeight="1" s="121"/>
    <row r="1830" ht="12" customHeight="1" s="121"/>
    <row r="1831" ht="12" customHeight="1" s="121"/>
    <row r="1832" ht="12" customHeight="1" s="121"/>
    <row r="1833" ht="12" customHeight="1" s="121"/>
    <row r="1834" ht="12" customHeight="1" s="121"/>
    <row r="1835" ht="12" customHeight="1" s="121"/>
    <row r="1836" ht="12" customHeight="1" s="121"/>
    <row r="1837" ht="12" customHeight="1" s="121"/>
    <row r="1838" ht="12" customHeight="1" s="121"/>
    <row r="1839" ht="12" customHeight="1" s="121"/>
    <row r="1840" ht="12" customHeight="1" s="121"/>
    <row r="1841" ht="12" customHeight="1" s="121"/>
    <row r="1842" ht="12" customHeight="1" s="121"/>
    <row r="1843" ht="12" customHeight="1" s="121"/>
    <row r="1844" ht="12" customHeight="1" s="121"/>
    <row r="1845" ht="12" customHeight="1" s="121"/>
    <row r="1846" ht="12" customHeight="1" s="121"/>
    <row r="1847" ht="12" customHeight="1" s="121"/>
    <row r="1848" ht="12" customHeight="1" s="121"/>
    <row r="1849" ht="12" customHeight="1" s="121"/>
    <row r="1850" ht="12" customHeight="1" s="121"/>
    <row r="1851" ht="12" customHeight="1" s="121"/>
    <row r="1852" ht="12" customHeight="1" s="121"/>
    <row r="1853" ht="12" customHeight="1" s="121"/>
    <row r="1854" ht="12" customHeight="1" s="121"/>
    <row r="1855" ht="12" customHeight="1" s="121"/>
    <row r="1856" ht="12" customHeight="1" s="121"/>
    <row r="1857" ht="12" customHeight="1" s="121"/>
    <row r="1858" ht="12" customHeight="1" s="121"/>
    <row r="1859" ht="12" customHeight="1" s="121"/>
    <row r="1860" ht="12" customHeight="1" s="121"/>
    <row r="1861" ht="12" customHeight="1" s="121"/>
    <row r="1862" ht="12" customHeight="1" s="121"/>
    <row r="1863" ht="12" customHeight="1" s="121"/>
    <row r="1864" ht="12" customHeight="1" s="121"/>
    <row r="1865" ht="12" customHeight="1" s="121"/>
    <row r="1866" ht="12" customHeight="1" s="121"/>
    <row r="1867" ht="12" customHeight="1" s="121"/>
    <row r="1868" ht="12" customHeight="1" s="121"/>
    <row r="1869" ht="12" customHeight="1" s="121"/>
    <row r="1870" ht="12" customHeight="1" s="121"/>
    <row r="1871" ht="12" customHeight="1" s="121"/>
    <row r="1872" ht="12" customHeight="1" s="121"/>
    <row r="1873" ht="12" customHeight="1" s="121"/>
    <row r="1874" ht="12" customHeight="1" s="121"/>
    <row r="1875" ht="12" customHeight="1" s="121"/>
    <row r="1876" ht="12" customHeight="1" s="121"/>
    <row r="1877" ht="12" customHeight="1" s="121"/>
    <row r="1878" ht="12" customHeight="1" s="121"/>
    <row r="1879" ht="12" customHeight="1" s="121"/>
    <row r="1880" ht="12" customHeight="1" s="121"/>
    <row r="1881" ht="12" customHeight="1" s="121"/>
    <row r="1882" ht="12" customHeight="1" s="121"/>
    <row r="1883" ht="12" customHeight="1" s="121"/>
    <row r="1884" ht="12" customHeight="1" s="121"/>
    <row r="1885" ht="12" customHeight="1" s="121"/>
    <row r="1886" ht="12" customHeight="1" s="121"/>
    <row r="1887" ht="12" customHeight="1" s="121"/>
    <row r="1888" ht="12" customHeight="1" s="121"/>
    <row r="1889" ht="12" customHeight="1" s="121"/>
    <row r="1890" ht="12" customHeight="1" s="121"/>
    <row r="1891" ht="12" customHeight="1" s="121"/>
    <row r="1892" ht="12" customHeight="1" s="121"/>
    <row r="1893" ht="12" customHeight="1" s="121"/>
    <row r="1894" ht="12" customHeight="1" s="121"/>
    <row r="1895" ht="12" customHeight="1" s="121"/>
  </sheetData>
  <autoFilter ref="A11:AO313">
    <filterColumn colId="17" hiddenButton="0" showButton="1">
      <filters blank="0">
        <filter val="KITM"/>
        <filter val="SDRWM"/>
        <filter val="9DRWM"/>
      </filters>
    </filterColumn>
  </autoFilter>
  <dataValidations disablePrompts="1" count="1">
    <dataValidation sqref="O877:O921 GT655:GT663 HW665:HW876 HW922:HW965 IB877:IB921 IB1452:IB1481 IM99:IM141 IM143:IM170 QP655:QP663 RS665:RS876 RS922:RS965 RX877:RX921 RX1452:RX1481 SI99:SI141 SI143:SI170 AAL655:AAL663 ABO665:ABO876 ABO922:ABO965 ABT877:ABT921 ABT1452:ABT1481 ACE99:ACE141 ACE143:ACE170 AKH655:AKH663 ALK665:ALK876 ALK922:ALK965 ALP877:ALP921 ALP1452:ALP1481 AMA99:AMA141 AMA143:AMA170 AUD655:AUD663 AVG665:AVG876 AVG922:AVG965 AVL877:AVL921 AVL1452:AVL1481 AVW99:AVW141 AVW143:AVW170 BDZ655:BDZ663 BFC665:BFC876 BFC922:BFC965 BFH877:BFH921 BFH1452:BFH1481 BFS99:BFS141 BFS143:BFS170 BNV655:BNV663 BOY665:BOY876 BOY922:BOY965 BPD877:BPD921 BPD1452:BPD1481 BPO99:BPO141 BPO143:BPO170 BXR655:BXR663 BYU665:BYU876 BYU922:BYU965 BYZ877:BYZ921 BYZ1452:BYZ1481 BZK99:BZK141 BZK143:BZK170 CHN655:CHN663 CIQ665:CIQ876 CIQ922:CIQ965 CIV877:CIV921 CIV1452:CIV1481 CJG99:CJG141 CJG143:CJG170 CRJ655:CRJ663 CSM665:CSM876 CSM922:CSM965 CSR877:CSR921 CSR1452:CSR1481 CTC99:CTC141 CTC143:CTC170 DBF655:DBF663 DCI665:DCI876 DCI922:DCI965 DCN877:DCN921 DCN1452:DCN1481 DCY99:DCY141 DCY143:DCY170 DLB655:DLB663 DME665:DME876 DME922:DME965 DMJ877:DMJ921 DMJ1452:DMJ1481 DMU99:DMU141 DMU143:DMU170 DUX655:DUX663 DWA665:DWA876 DWA922:DWA965 DWF877:DWF921 DWF1452:DWF1481 DWQ99:DWQ141 DWQ143:DWQ170 EET655:EET663 EFW665:EFW876 EFW922:EFW965 EGB877:EGB921 EGB1452:EGB1481 EGM99:EGM141 EGM143:EGM170 EOP655:EOP663 EPS665:EPS876 EPS922:EPS965 EPX877:EPX921 EPX1452:EPX1481 EQI99:EQI141 EQI143:EQI170 EYL655:EYL663 EZO665:EZO876 EZO922:EZO965 EZT877:EZT921 EZT1452:EZT1481 FAE99:FAE141 FAE143:FAE170 FIH655:FIH663 FJK665:FJK876 FJK922:FJK965 FJP877:FJP921 FJP1452:FJP1481 FKA99:FKA141 FKA143:FKA170 FSD655:FSD663 FTG665:FTG876 FTG922:FTG965 FTL877:FTL921 FTL1452:FTL1481 FTW99:FTW141 FTW143:FTW170 GBZ655:GBZ663 GDC665:GDC876 GDC922:GDC965 GDH877:GDH921 GDH1452:GDH1481 GDS99:GDS141 GDS143:GDS170 GLV655:GLV663 GMY665:GMY876 GMY922:GMY965 GND877:GND921 GND1452:GND1481 GNO99:GNO141 GNO143:GNO170 GVR655:GVR663 GWU665:GWU876 GWU922:GWU965 GWZ877:GWZ921 GWZ1452:GWZ1481 GXK99:GXK141 GXK143:GXK170 HFN655:HFN663 HGQ665:HGQ876 HGQ922:HGQ965 HGV877:HGV921 HGV1452:HGV1481 HHG99:HHG141 HHG143:HHG170 HPJ655:HPJ663 HQM665:HQM876 HQM922:HQM965 HQR877:HQR921 HQR1452:HQR1481 HRC99:HRC141 HRC143:HRC170 HZF655:HZF663 IAI665:IAI876 IAI922:IAI965 IAN877:IAN921 IAN1452:IAN1481 IAY99:IAY141 IAY143:IAY170 IJB655:IJB663 IKE665:IKE876 IKE922:IKE965 IKJ877:IKJ921 IKJ1452:IKJ1481 IKU99:IKU141 IKU143:IKU170 ISX655:ISX663 IUA665:IUA876 IUA922:IUA965 IUF877:IUF921 IUF1452:IUF1481 IUQ99:IUQ141 IUQ143:IUQ170 JCT655:JCT663 JDW665:JDW876 JDW922:JDW965 JEB877:JEB921 JEB1452:JEB1481 JEM99:JEM141 JEM143:JEM170 JMP655:JMP663 JNS665:JNS876 JNS922:JNS965 JNX877:JNX921 JNX1452:JNX1481 JOI99:JOI141 JOI143:JOI170 JWL655:JWL663 JXO665:JXO876 JXO922:JXO965 JXT877:JXT921 JXT1452:JXT1481 JYE99:JYE141 JYE143:JYE170 KGH655:KGH663 KHK665:KHK876 KHK922:KHK965 KHP877:KHP921 KHP1452:KHP1481 KIA99:KIA141 KIA143:KIA170 KQD655:KQD663 KRG665:KRG876 KRG922:KRG965 KRL877:KRL921 KRL1452:KRL1481 KRW99:KRW141 KRW143:KRW170 KZZ655:KZZ663 LBC665:LBC876 LBC922:LBC965 LBH877:LBH921 LBH1452:LBH1481 LBS99:LBS141 LBS143:LBS170 LJV655:LJV663 LKY665:LKY876 LKY922:LKY965 LLD877:LLD921 LLD1452:LLD1481 LLO99:LLO141 LLO143:LLO170 LTR655:LTR663 LUU665:LUU876 LUU922:LUU965 LUZ877:LUZ921 LUZ1452:LUZ1481 LVK99:LVK141 LVK143:LVK170 MDN655:MDN663 MEQ665:MEQ876 MEQ922:MEQ965 MEV877:MEV921 MEV1452:MEV1481 MFG99:MFG141 MFG143:MFG170 MNJ655:MNJ663 MOM665:MOM876 MOM922:MOM965 MOR877:MOR921 MOR1452:MOR1481 MPC99:MPC141 MPC143:MPC170 MXF655:MXF663 MYI665:MYI876 MYI922:MYI965 MYN877:MYN921 MYN1452:MYN1481 MYY99:MYY141 MYY143:MYY170 NHB655:NHB663 NIE665:NIE876 NIE922:NIE965 NIJ877:NIJ921 NIJ1452:NIJ1481 NIU99:NIU141 NIU143:NIU170 NQX655:NQX663 NSA665:NSA876 NSA922:NSA965 NSF877:NSF921 NSF1452:NSF1481 NSQ99:NSQ141 NSQ143:NSQ170 OAT655:OAT663 OBW665:OBW876 OBW922:OBW965 OCB877:OCB921 OCB1452:OCB1481 OCM99:OCM141 OCM143:OCM170 OKP655:OKP663 OLS665:OLS876 OLS922:OLS965 OLX877:OLX921 OLX1452:OLX1481 OMI99:OMI141 OMI143:OMI170 OUL655:OUL663 OVO665:OVO876 OVO922:OVO965 OVT877:OVT921 OVT1452:OVT1481 OWE99:OWE141 OWE143:OWE170 PEH655:PEH663 PFK665:PFK876 PFK922:PFK965 PFP877:PFP921 PFP1452:PFP1481 PGA99:PGA141 PGA143:PGA170 POD655:POD663 PPG665:PPG876 PPG922:PPG965 PPL877:PPL921 PPL1452:PPL1481 PPW99:PPW141 PPW143:PPW170 PXZ655:PXZ663 PZC665:PZC876 PZC922:PZC965 PZH877:PZH921 PZH1452:PZH1481 PZS99:PZS141 PZS143:PZS170 QHV655:QHV663 QIY665:QIY876 QIY922:QIY965 QJD877:QJD921 QJD1452:QJD1481 QJO99:QJO141 QJO143:QJO170 QRR655:QRR663 QSU665:QSU876 QSU922:QSU965 QSZ877:QSZ921 QSZ1452:QSZ1481 QTK99:QTK141 QTK143:QTK170 RBN655:RBN663 RCQ665:RCQ876 RCQ922:RCQ965 RCV877:RCV921 RCV1452:RCV1481 RDG99:RDG141 RDG143:RDG170 RLJ655:RLJ663 RMM665:RMM876 RMM922:RMM965 RMR877:RMR921 RMR1452:RMR1481 RNC99:RNC141 RNC143:RNC170 RVF655:RVF663 RWI665:RWI876 RWI922:RWI965 RWN877:RWN921 RWN1452:RWN1481 RWY99:RWY141 RWY143:RWY170 SFB655:SFB663 SGE665:SGE876 SGE922:SGE965 SGJ877:SGJ921 SGJ1452:SGJ1481 SGU99:SGU141 SGU143:SGU170 SOX655:SOX663 SQA665:SQA876 SQA922:SQA965 SQF877:SQF921 SQF1452:SQF1481 SQQ99:SQQ141 SQQ143:SQQ170 SYT655:SYT663 SZW665:SZW876 SZW922:SZW965 TAB877:TAB921 TAB1452:TAB1481 TAM99:TAM141 TAM143:TAM170 TIP655:TIP663 TJS665:TJS876 TJS922:TJS965 TJX877:TJX921 TJX1452:TJX1481 TKI99:TKI141 TKI143:TKI170 TSL655:TSL663 TTO665:TTO876 TTO922:TTO965 TTT877:TTT921 TTT1452:TTT1481 TUE99:TUE141 TUE143:TUE170 UCH655:UCH663 UDK665:UDK876 UDK922:UDK965 UDP877:UDP921 UDP1452:UDP1481 UEA99:UEA141 UEA143:UEA170 UMD655:UMD663 UNG665:UNG876 UNG922:UNG965 UNL877:UNL921 UNL1452:UNL1481 UNW99:UNW141 UNW143:UNW170 UVZ655:UVZ663 UXC665:UXC876 UXC922:UXC965 UXH877:UXH921 UXH1452:UXH1481 UXS99:UXS141 UXS143:UXS170 VFV655:VFV663 VGY665:VGY876 VGY922:VGY965 VHD877:VHD921 VHD1452:VHD1481 VHO99:VHO141 VHO143:VHO170 VPR655:VPR663 VQU665:VQU876 VQU922:VQU965 VQZ877:VQZ921 VQZ1452:VQZ1481 VRK99:VRK141 VRK143:VRK170 VZN655:VZN663 WAQ665:WAQ876 WAQ922:WAQ965 WAV877:WAV921 WAV1452:WAV1481 WBG99:WBG141 WBG143:WBG170 WJJ655:WJJ663 WKM665:WKM876 WKM922:WKM965 WKR877:WKR921 WKR1452:WKR1481 WLC99:WLC141 WLC143:WLC170 WTF655:WTF663 WUI665:WUI876 WUI922:WUI965 WUN877:WUN921 WUN1452:WUN1481 WUY99:WUY141 WUY143:WUY170" showDropDown="0" showInputMessage="1" showErrorMessage="1" allowBlank="0" type="list">
      <formula1>#REF!</formula1>
    </dataValidation>
  </dataValidations>
  <pageMargins left="0.38" right="0.31" top="0.55" bottom="0.58" header="0.5" footer="0.32"/>
  <pageSetup orientation="landscape" paperSize="9" scale="95"/>
  <headerFooter alignWithMargins="0">
    <oddHeader/>
    <oddFooter>&amp;L&amp;"Arial,보통"&amp;10 Doc. Number: HKF-DG-008&amp;C&amp;"Arial,보통"&amp;10 &amp;P/&amp;N&amp;R&amp;"Arial,보통"&amp;10 Rev Level: 0_x000a_Rev Date: 01/01/2008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E24:T27"/>
  <sheetViews>
    <sheetView workbookViewId="0">
      <selection activeCell="E24" sqref="E24:T27"/>
    </sheetView>
  </sheetViews>
  <sheetFormatPr baseColWidth="8" defaultRowHeight="13.5"/>
  <sheetData>
    <row r="24">
      <c r="E24" s="32" t="inlineStr">
        <is>
          <t>DEL</t>
        </is>
      </c>
      <c r="F24" s="33" t="inlineStr">
        <is>
          <t>.2</t>
        </is>
      </c>
      <c r="G24" s="33" t="inlineStr">
        <is>
          <t>0001</t>
        </is>
      </c>
      <c r="H24" s="34" t="n">
        <v>43435201</v>
      </c>
      <c r="I24" s="33" t="inlineStr">
        <is>
          <t>INSULATION, TOP SHELL, 1707MK3</t>
        </is>
      </c>
      <c r="J24" s="33" t="inlineStr">
        <is>
          <t>C  434352XXR</t>
        </is>
      </c>
      <c r="K24" s="36" t="n">
        <v>1</v>
      </c>
      <c r="L24" s="33" t="n"/>
      <c r="M24" s="36" t="inlineStr">
        <is>
          <t>EA</t>
        </is>
      </c>
      <c r="N24" s="36" t="n">
        <v>4</v>
      </c>
      <c r="O24" s="36" t="inlineStr">
        <is>
          <t>KITMS</t>
        </is>
      </c>
      <c r="P24" s="23" t="n"/>
      <c r="Q24" s="14" t="inlineStr">
        <is>
          <t>R1</t>
        </is>
      </c>
      <c r="R24" s="14" t="inlineStr">
        <is>
          <t>HJNOH</t>
        </is>
      </c>
      <c r="S24" s="22" t="n"/>
      <c r="T24" s="24" t="inlineStr"/>
    </row>
    <row r="25">
      <c r="E25" s="21" t="inlineStr">
        <is>
          <t>ADD</t>
        </is>
      </c>
      <c r="F25" s="37" t="inlineStr">
        <is>
          <t>.2</t>
        </is>
      </c>
      <c r="G25" s="37" t="inlineStr">
        <is>
          <t>0001</t>
        </is>
      </c>
      <c r="H25" s="38" t="n">
        <v>43435203</v>
      </c>
      <c r="I25" s="37" t="inlineStr">
        <is>
          <t>INSULATION, TOP SHELL, 1913MK3</t>
        </is>
      </c>
      <c r="J25" s="37" t="inlineStr">
        <is>
          <t>C  434352XXR</t>
        </is>
      </c>
      <c r="K25" s="40" t="n">
        <v>1</v>
      </c>
      <c r="L25" s="37" t="n"/>
      <c r="M25" s="40" t="inlineStr">
        <is>
          <t>EA</t>
        </is>
      </c>
      <c r="N25" s="40" t="n">
        <v>4</v>
      </c>
      <c r="O25" s="40" t="inlineStr">
        <is>
          <t>KITMS</t>
        </is>
      </c>
      <c r="P25" s="23" t="n"/>
      <c r="Q25" s="15" t="inlineStr">
        <is>
          <t>R1</t>
        </is>
      </c>
      <c r="R25" s="15" t="inlineStr">
        <is>
          <t>HJNOH</t>
        </is>
      </c>
      <c r="S25" s="22" t="n"/>
      <c r="T25" s="24" t="n"/>
    </row>
    <row r="26">
      <c r="E26" s="16" t="inlineStr">
        <is>
          <t>DEL</t>
        </is>
      </c>
      <c r="F26" s="33" t="inlineStr">
        <is>
          <t>....5</t>
        </is>
      </c>
      <c r="G26" s="33" t="inlineStr">
        <is>
          <t>0020</t>
        </is>
      </c>
      <c r="H26" s="33" t="inlineStr">
        <is>
          <t>423MK</t>
        </is>
      </c>
      <c r="I26" s="33" t="inlineStr">
        <is>
          <t>OILITE FLANGE BRG 12 ID X12 LG</t>
        </is>
      </c>
      <c r="J26" s="33" t="inlineStr">
        <is>
          <t>CP423M     R  F</t>
        </is>
      </c>
      <c r="K26" s="36" t="n">
        <v>2</v>
      </c>
      <c r="L26" s="33" t="n"/>
      <c r="M26" s="36" t="inlineStr">
        <is>
          <t>EA</t>
        </is>
      </c>
      <c r="N26" s="36" t="n">
        <v>4</v>
      </c>
      <c r="O26" s="36" t="inlineStr">
        <is>
          <t>LTRNM</t>
        </is>
      </c>
      <c r="P26" s="18" t="n"/>
      <c r="Q26" s="14" t="inlineStr">
        <is>
          <t>R1</t>
        </is>
      </c>
      <c r="R26" s="14" t="inlineStr">
        <is>
          <t>HJNOH</t>
        </is>
      </c>
      <c r="S26" s="19" t="n"/>
      <c r="T26" s="20" t="inlineStr"/>
    </row>
    <row r="27">
      <c r="E27" s="17" t="inlineStr">
        <is>
          <t>ADD</t>
        </is>
      </c>
      <c r="F27" s="37" t="inlineStr">
        <is>
          <t>....5</t>
        </is>
      </c>
      <c r="G27" s="26" t="inlineStr">
        <is>
          <t>0020</t>
        </is>
      </c>
      <c r="H27" s="37" t="inlineStr">
        <is>
          <t>423K</t>
        </is>
      </c>
      <c r="I27" s="37" t="inlineStr">
        <is>
          <t>FLANGED OILTE BEARING</t>
        </is>
      </c>
      <c r="J27" s="37" t="inlineStr">
        <is>
          <t>423M</t>
        </is>
      </c>
      <c r="K27" s="40" t="n">
        <v>2</v>
      </c>
      <c r="L27" s="37" t="n"/>
      <c r="M27" s="40" t="inlineStr">
        <is>
          <t>EA</t>
        </is>
      </c>
      <c r="N27" s="40" t="n">
        <v>4</v>
      </c>
      <c r="O27" s="40" t="inlineStr">
        <is>
          <t>LTRNM</t>
        </is>
      </c>
      <c r="P27" s="18" t="n"/>
      <c r="Q27" s="15" t="inlineStr">
        <is>
          <t>R1</t>
        </is>
      </c>
      <c r="R27" s="15" t="inlineStr">
        <is>
          <t>HJNOH</t>
        </is>
      </c>
      <c r="S27" s="19" t="n"/>
      <c r="T27" s="20" t="inlineStr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B9"/>
  <sheetViews>
    <sheetView workbookViewId="0">
      <selection activeCell="B9" sqref="B9"/>
    </sheetView>
  </sheetViews>
  <sheetFormatPr baseColWidth="8" defaultRowHeight="13.5" outlineLevelCol="0"/>
  <cols>
    <col width="11.6640625" customWidth="1" style="121" min="1" max="1"/>
    <col width="121.44140625" customWidth="1" style="121" min="2" max="2"/>
  </cols>
  <sheetData>
    <row r="1">
      <c r="A1" s="0" t="inlineStr">
        <is>
          <t>디자인불량</t>
        </is>
      </c>
      <c r="B1" s="0" t="inlineStr">
        <is>
          <t>설계에 문제에 의한 불량. Old 및 New issue 기록 Old항목은 engineer에 기록할 필요 없으며 New Issue 에 대해서만 기록</t>
        </is>
      </c>
    </row>
    <row r="2">
      <c r="A2" s="0" t="inlineStr">
        <is>
          <t>디자인개선</t>
        </is>
      </c>
      <c r="B2" s="0" t="inlineStr">
        <is>
          <t>성능 개선, 조립성 개선 등</t>
        </is>
      </c>
    </row>
    <row r="3">
      <c r="A3" s="0" t="inlineStr">
        <is>
          <t>디자인변경</t>
        </is>
      </c>
      <c r="B3" s="0" t="inlineStr">
        <is>
          <t>단납기 Issue로 기구 및 전기 최초 Release후 추가 설계하는 내용</t>
        </is>
      </c>
    </row>
    <row r="4">
      <c r="A4" s="0" t="inlineStr">
        <is>
          <t>BOM 누락</t>
        </is>
      </c>
      <c r="B4" s="0" t="inlineStr">
        <is>
          <t>BOM 문제에 의한 불량. Standard Issue, Old 및 New issue 기록  standard 및 Old항목은 Issue engineer에 기록할 필요 없으며 New Issue 에 대해서만 기록</t>
        </is>
      </c>
    </row>
    <row r="5">
      <c r="A5" s="0" t="inlineStr">
        <is>
          <t>Order 변경</t>
        </is>
      </c>
      <c r="B5" s="0" t="inlineStr">
        <is>
          <t>사양 변경 및 부품 변경 (buyoff후 변경사항도 여기 기록)</t>
        </is>
      </c>
    </row>
    <row r="6">
      <c r="A6" s="0" t="inlineStr">
        <is>
          <t>ECN 적용</t>
        </is>
      </c>
      <c r="B6" s="0" t="inlineStr">
        <is>
          <t>ECN으로 인한 설계 변경 및 BOM 변경</t>
        </is>
      </c>
    </row>
    <row r="7">
      <c r="A7" s="0" t="inlineStr">
        <is>
          <t>CP 변경</t>
        </is>
      </c>
      <c r="B7" s="0" t="inlineStr">
        <is>
          <t>CP 변경으로 인한 추가 설계</t>
        </is>
      </c>
    </row>
    <row r="8">
      <c r="A8" s="0" t="inlineStr">
        <is>
          <t>개조</t>
        </is>
      </c>
      <c r="B8" s="0" t="inlineStr">
        <is>
          <t>재고 장비의 개조</t>
        </is>
      </c>
    </row>
    <row r="9">
      <c r="A9" s="0" t="inlineStr">
        <is>
          <t>Standard Issue</t>
        </is>
      </c>
      <c r="B9" s="0" t="inlineStr">
        <is>
          <t>S number기준으로하는 Standard 설계, BOM issue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mwpark</dc:creator>
  <dcterms:created xsi:type="dcterms:W3CDTF">2005-10-10T03:05:45Z</dcterms:created>
  <dcterms:modified xsi:type="dcterms:W3CDTF">2025-10-01T06:50:00Z</dcterms:modified>
  <cp:lastModifiedBy>Windows 사용자</cp:lastModifiedBy>
  <cp:lastPrinted>2019-06-12T04:15:24Z</cp:lastPrinted>
</cp:coreProperties>
</file>